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femi\Downloads\archive\"/>
    </mc:Choice>
  </mc:AlternateContent>
  <bookViews>
    <workbookView xWindow="0" yWindow="0" windowWidth="23040" windowHeight="8808"/>
  </bookViews>
  <sheets>
    <sheet name="Pivot Table" sheetId="3" r:id="rId1"/>
    <sheet name="my project synthetic_healthcare" sheetId="1" r:id="rId2"/>
    <sheet name="Dashboard" sheetId="2" r:id="rId3"/>
  </sheets>
  <definedNames>
    <definedName name="Slicer_Age_group">#N/A</definedName>
    <definedName name="Slicer_Diagnosis">#N/A</definedName>
    <definedName name="Slicer_Gender">#N/A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B48" i="3" l="1"/>
  <c r="Q501" i="1" l="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R2" i="1"/>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alcChain>
</file>

<file path=xl/sharedStrings.xml><?xml version="1.0" encoding="utf-8"?>
<sst xmlns="http://schemas.openxmlformats.org/spreadsheetml/2006/main" count="3111" uniqueCount="574">
  <si>
    <t>Patient_ID</t>
  </si>
  <si>
    <t>Age</t>
  </si>
  <si>
    <t>Gender</t>
  </si>
  <si>
    <t>BMI</t>
  </si>
  <si>
    <t>Smoker</t>
  </si>
  <si>
    <t>Diabetic</t>
  </si>
  <si>
    <t>Diagnosis</t>
  </si>
  <si>
    <t>Treatment_Cost</t>
  </si>
  <si>
    <t>Admission_Date</t>
  </si>
  <si>
    <t>Discharge_Date</t>
  </si>
  <si>
    <t>Outcome</t>
  </si>
  <si>
    <t>P001</t>
  </si>
  <si>
    <t>Female</t>
  </si>
  <si>
    <t>No</t>
  </si>
  <si>
    <t>Yes</t>
  </si>
  <si>
    <t>Diabetes</t>
  </si>
  <si>
    <t>Recovered</t>
  </si>
  <si>
    <t>P002</t>
  </si>
  <si>
    <t>Male</t>
  </si>
  <si>
    <t>Referred</t>
  </si>
  <si>
    <t>P003</t>
  </si>
  <si>
    <t>Hypertension</t>
  </si>
  <si>
    <t>P004</t>
  </si>
  <si>
    <t>Deceases</t>
  </si>
  <si>
    <t>P005</t>
  </si>
  <si>
    <t>Flu</t>
  </si>
  <si>
    <t>P006</t>
  </si>
  <si>
    <t>P007</t>
  </si>
  <si>
    <t>P008</t>
  </si>
  <si>
    <t>P009</t>
  </si>
  <si>
    <t>P010</t>
  </si>
  <si>
    <t>P011</t>
  </si>
  <si>
    <t>Heart Disease</t>
  </si>
  <si>
    <t>P012</t>
  </si>
  <si>
    <t>Pneumonia</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</si>
  <si>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</si>
  <si>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</si>
  <si>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</si>
  <si>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</si>
  <si>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</si>
  <si>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</si>
  <si>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</si>
  <si>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</si>
  <si>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</si>
  <si>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</si>
  <si>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</si>
  <si>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</si>
  <si>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</si>
  <si>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</si>
  <si>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</si>
  <si>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</si>
  <si>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</si>
  <si>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</si>
  <si>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</si>
  <si>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</si>
  <si>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</si>
  <si>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</si>
  <si>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</si>
  <si>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</si>
  <si>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</si>
  <si>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</si>
  <si>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</si>
  <si>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</si>
  <si>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</si>
  <si>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</si>
  <si>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</si>
  <si>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</si>
  <si>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</si>
  <si>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</si>
  <si>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</si>
  <si>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</si>
  <si>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</si>
  <si>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</si>
  <si>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</si>
  <si>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</si>
  <si>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</si>
  <si>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</si>
  <si>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</si>
  <si>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</si>
  <si>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</si>
  <si>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</si>
  <si>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</si>
  <si>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</si>
  <si>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</si>
  <si>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</si>
  <si>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</si>
  <si>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</si>
  <si>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</si>
  <si>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</si>
  <si>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</si>
  <si>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</si>
  <si>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</si>
  <si>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</si>
  <si>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</si>
  <si>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</si>
  <si>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</si>
  <si>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</si>
  <si>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</si>
  <si>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</si>
  <si>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</si>
  <si>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</si>
  <si>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</si>
  <si>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</si>
  <si>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</si>
  <si>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</si>
  <si>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</si>
  <si>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</si>
  <si>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</si>
  <si>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</si>
  <si>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</si>
  <si>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</si>
  <si>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</si>
  <si>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</si>
  <si>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</si>
  <si>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</si>
  <si>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</si>
  <si>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</si>
  <si>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</si>
  <si>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</si>
  <si>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</si>
  <si>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</si>
  <si>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</si>
  <si>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</si>
  <si>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</si>
  <si>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</si>
  <si>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</si>
  <si>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</si>
  <si>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</si>
  <si>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</si>
  <si>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</si>
  <si>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</si>
  <si>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</si>
  <si>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</si>
  <si>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</si>
  <si>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</si>
  <si>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</si>
  <si>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</si>
  <si>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</si>
  <si>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</si>
  <si>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</si>
  <si>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</si>
  <si>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</si>
  <si>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</si>
  <si>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</si>
  <si>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</si>
  <si>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</si>
  <si>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</si>
  <si>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</si>
  <si>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</si>
  <si>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</si>
  <si>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</si>
  <si>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</si>
  <si>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</si>
  <si>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</si>
  <si>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</si>
  <si>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</si>
  <si>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</si>
  <si>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</si>
  <si>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</si>
  <si>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</si>
  <si>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</si>
  <si>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</si>
  <si>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</si>
  <si>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</si>
  <si>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</si>
  <si>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</si>
  <si>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</si>
  <si>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</si>
  <si>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</si>
  <si>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</si>
  <si>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</si>
  <si>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</si>
  <si>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</si>
  <si>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</si>
  <si>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</si>
  <si>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</si>
  <si>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</si>
  <si>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</si>
  <si>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</si>
  <si>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</si>
  <si>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</si>
  <si>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</si>
  <si>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</si>
  <si>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</si>
  <si>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</si>
  <si>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</si>
  <si>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</si>
  <si>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</si>
  <si>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</si>
  <si>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</si>
  <si>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</si>
  <si>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</si>
  <si>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</si>
  <si>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</si>
  <si>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</si>
  <si>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</si>
  <si>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</si>
  <si>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</si>
  <si>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</si>
  <si>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</si>
  <si>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</si>
  <si>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</si>
  <si>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</si>
  <si>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</si>
  <si>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</si>
  <si>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</si>
  <si>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</si>
  <si>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</si>
  <si>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</si>
  <si>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</si>
  <si>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</si>
  <si>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</si>
  <si>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</si>
  <si>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</si>
  <si>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</si>
  <si>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</si>
  <si>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</si>
  <si>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</si>
  <si>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</si>
  <si>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</si>
  <si>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</si>
  <si>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</si>
  <si>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</si>
  <si>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</si>
  <si>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</si>
  <si>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</si>
  <si>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</si>
  <si>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</si>
  <si>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</si>
  <si>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</si>
  <si>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</si>
  <si>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</si>
  <si>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</si>
  <si>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</si>
  <si>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</si>
  <si>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</si>
  <si>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</si>
  <si>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</si>
  <si>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</si>
  <si>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</si>
  <si>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</si>
  <si>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</si>
  <si>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</si>
  <si>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</si>
  <si>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</si>
  <si>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</si>
  <si>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</si>
  <si>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</si>
  <si>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</si>
  <si>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</si>
  <si>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</si>
  <si>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</si>
  <si>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</si>
  <si>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</si>
  <si>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</si>
  <si>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</si>
  <si>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</si>
  <si>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</si>
  <si>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</si>
  <si>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</si>
  <si>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</si>
  <si>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</si>
  <si>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</si>
  <si>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</si>
  <si>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</si>
  <si>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</si>
  <si>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</si>
  <si>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</si>
  <si>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</si>
  <si>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</si>
  <si>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</si>
  <si>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</si>
  <si>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</si>
  <si>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</si>
  <si>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</si>
  <si>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</si>
  <si>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</si>
  <si>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</si>
  <si>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</si>
  <si>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</si>
  <si>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</si>
  <si>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</si>
  <si>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</si>
  <si>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</si>
  <si>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</si>
  <si>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</si>
  <si>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</si>
  <si>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</si>
  <si>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</si>
  <si>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</si>
  <si>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</si>
  <si>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</si>
  <si>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</si>
  <si>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</si>
  <si>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</si>
  <si>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</si>
  <si>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</si>
  <si>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</si>
  <si>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</si>
  <si>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</si>
  <si>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</si>
  <si>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</si>
  <si>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</si>
  <si>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</si>
  <si>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</si>
  <si>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</si>
  <si>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</si>
  <si>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</si>
  <si>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</si>
  <si>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</si>
  <si>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</si>
  <si>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</si>
  <si>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</si>
  <si>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</si>
  <si>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</si>
  <si>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</si>
  <si>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</si>
  <si>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</si>
  <si>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</si>
  <si>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</si>
  <si>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</si>
  <si>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</si>
  <si>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</si>
  <si>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</si>
  <si>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</si>
  <si>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</si>
  <si>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</si>
  <si>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</si>
  <si>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</si>
  <si>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</si>
  <si>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</si>
  <si>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</si>
  <si>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</si>
  <si>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</si>
  <si>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</si>
  <si>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</si>
  <si>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</si>
  <si>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</si>
  <si>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</si>
  <si>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</si>
  <si>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</si>
  <si>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</si>
  <si>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</si>
  <si>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</si>
  <si>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</si>
  <si>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</si>
  <si>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</si>
  <si>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</si>
  <si>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</si>
  <si>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</si>
  <si>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</si>
  <si>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</si>
  <si>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</si>
  <si>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</si>
  <si>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</si>
  <si>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</si>
  <si>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</si>
  <si>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</si>
  <si>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</si>
  <si>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</si>
  <si>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</si>
  <si>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</si>
  <si>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</si>
  <si>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</si>
  <si>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</si>
  <si>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</si>
  <si>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</si>
  <si>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</si>
  <si>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</si>
  <si>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</si>
  <si>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</si>
  <si>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</si>
  <si>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</si>
  <si>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</si>
  <si>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</si>
  <si>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</si>
  <si>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</si>
  <si>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</si>
  <si>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</si>
  <si>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</si>
  <si>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</si>
  <si>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</si>
  <si>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</si>
  <si>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</si>
  <si>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</si>
  <si>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</si>
  <si>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</si>
  <si>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</si>
  <si>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</si>
  <si>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</si>
  <si>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</si>
  <si>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</si>
  <si>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</si>
  <si>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</si>
  <si>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</si>
  <si>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</si>
  <si>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</si>
  <si>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</si>
  <si>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</si>
  <si>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</si>
  <si>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</si>
  <si>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</si>
  <si>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</si>
  <si>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</si>
  <si>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</si>
  <si>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</si>
  <si>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</si>
  <si>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</si>
  <si>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</si>
  <si>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</si>
  <si>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</si>
  <si>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</si>
  <si>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</si>
  <si>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</si>
  <si>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</si>
  <si>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</si>
  <si>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</si>
  <si>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</si>
  <si>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</si>
  <si>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</si>
  <si>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</si>
  <si>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</si>
  <si>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</si>
  <si>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</si>
  <si>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</si>
  <si>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</si>
  <si>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</si>
  <si>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</si>
  <si>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</si>
  <si>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</si>
  <si>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</si>
  <si>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</si>
  <si>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</si>
  <si>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</si>
  <si>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</si>
  <si>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</si>
  <si>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</si>
  <si>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</si>
  <si>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</si>
  <si>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</si>
  <si>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</si>
  <si>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</si>
  <si>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</si>
  <si>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</si>
  <si>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</si>
  <si>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</si>
  <si>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</si>
  <si>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</si>
  <si>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</si>
  <si>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</si>
  <si>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</si>
  <si>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</si>
  <si>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</si>
  <si>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</si>
  <si>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</si>
  <si>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</si>
  <si>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</si>
  <si>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</si>
  <si>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</si>
  <si>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</si>
  <si>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</si>
  <si>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</si>
  <si>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</si>
  <si>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</si>
  <si>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</si>
  <si>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</si>
  <si>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</si>
  <si>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</si>
  <si>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</si>
  <si>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</si>
  <si>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</si>
  <si>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</si>
  <si>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</si>
  <si>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</si>
  <si>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</si>
  <si>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</si>
  <si>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</si>
  <si>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</si>
  <si>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</si>
  <si>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</si>
  <si>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</si>
  <si>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</si>
  <si>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</si>
  <si>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</si>
  <si>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</si>
  <si>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</si>
  <si>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</si>
  <si>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</si>
  <si>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</si>
  <si>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</si>
  <si>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</si>
  <si>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</si>
  <si>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</si>
  <si>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</si>
  <si>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</si>
  <si>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</si>
  <si>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</si>
  <si>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</si>
  <si>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</si>
  <si>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</si>
  <si>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</si>
  <si>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</si>
  <si>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</si>
  <si>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</si>
  <si>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</si>
  <si>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</si>
  <si>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</si>
  <si>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</si>
  <si>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</si>
  <si>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</si>
  <si>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</si>
  <si>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</si>
  <si>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</si>
  <si>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</si>
  <si>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</si>
  <si>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</si>
  <si>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</si>
  <si>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</si>
  <si>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</si>
  <si>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</si>
  <si>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</si>
  <si>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</si>
  <si>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</si>
  <si>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Age group</t>
  </si>
  <si>
    <t>smoker and Diabetic</t>
  </si>
  <si>
    <t>smoker or diabetic</t>
  </si>
  <si>
    <t>Systolic</t>
  </si>
  <si>
    <t>Diastolic</t>
  </si>
  <si>
    <t>Blood Pressure</t>
  </si>
  <si>
    <t>Days on admission</t>
  </si>
  <si>
    <t>Row Labels</t>
  </si>
  <si>
    <t>Grand Total</t>
  </si>
  <si>
    <t>Count of Gender</t>
  </si>
  <si>
    <t>&lt; 25</t>
  </si>
  <si>
    <t>&gt;65</t>
  </si>
  <si>
    <t>25-35</t>
  </si>
  <si>
    <t>36-50</t>
  </si>
  <si>
    <t>51-65</t>
  </si>
  <si>
    <t>Count of Smoker</t>
  </si>
  <si>
    <t>Count of Diabetic</t>
  </si>
  <si>
    <t>Count of smoker or diabetic</t>
  </si>
  <si>
    <t>Count of smoker and Diabetic</t>
  </si>
  <si>
    <t>High</t>
  </si>
  <si>
    <t>Normal</t>
  </si>
  <si>
    <t>Count of Blood Pressure</t>
  </si>
  <si>
    <t>Count of Diagnosis</t>
  </si>
  <si>
    <t>Count of Outcome</t>
  </si>
  <si>
    <t>Outcomes</t>
  </si>
  <si>
    <t>Jan</t>
  </si>
  <si>
    <t>Feb</t>
  </si>
  <si>
    <t>Mar</t>
  </si>
  <si>
    <t>Apr</t>
  </si>
  <si>
    <t>May</t>
  </si>
  <si>
    <t>Jun</t>
  </si>
  <si>
    <t>Jul</t>
  </si>
  <si>
    <t>Aug</t>
  </si>
  <si>
    <t>Sep</t>
  </si>
  <si>
    <t>Oct</t>
  </si>
  <si>
    <t>Nov</t>
  </si>
  <si>
    <t>Dec</t>
  </si>
  <si>
    <t>Count of Admission_Date</t>
  </si>
  <si>
    <t>2024</t>
  </si>
  <si>
    <t>2025</t>
  </si>
  <si>
    <t>Length of stay</t>
  </si>
  <si>
    <t>Number of Patients</t>
  </si>
  <si>
    <t>(All)</t>
  </si>
  <si>
    <t>Sum of Treatment_Cost</t>
  </si>
  <si>
    <t>Average of Treatment_Cost2</t>
  </si>
  <si>
    <t>Average Age</t>
  </si>
  <si>
    <t>Column1</t>
  </si>
  <si>
    <t>Average of Days on admission</t>
  </si>
  <si>
    <t>Count of Outcome2</t>
  </si>
  <si>
    <t>Count of Patient_ID</t>
  </si>
  <si>
    <t>Average of Age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</si>
</sst>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164" formatCode="[$-809]dd\ mmmm\ yyyy;@"/>
    <numFmt numFmtId="165" formatCode="[$-409]mmmm\-yy;@"/>
    <numFmt numFmtId="166" formatCode="&quot;$&quot;#,##0.00"/>
    <numFmt numFmtId="167" formatCode="_(&quot;$&quot;* #,##0_);_(&quot;$&quot;* \(#,##0\);_(&quot;$&quot;* &quot;-&quot;??_);_(@_)"/>
    <numFmt numFmtId="168" formatCode="_(&quot;$&quot;* #,##0.0_);_(&quot;$&quot;* \(#,##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12">
    <xf numFmtId="0" fontId="0" fillId="0" borderId="0" xfId="0"/>
    <xf numFmtId="0" fontId="0" fillId="0" borderId="0" xfId="0" applyNumberFormat="1"/>
    <xf numFmtId="44" fontId="0" fillId="0" borderId="0" xfId="42"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indent="1"/>
    </xf>
    <xf numFmtId="166" fontId="0" fillId="0" borderId="0" xfId="0" applyNumberFormat="1"/>
    <xf numFmtId="2" fontId="0" fillId="0" borderId="0" xfId="0" applyNumberFormat="1"/>
    <xf numFmtId="10" fontId="0" fillId="0" borderId="0" xfId="0" applyNumberFormat="1"/>
    <xf numFmtId="167" fontId="0" fillId="0" borderId="0" xfId="0" applyNumberFormat="1"/>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809]dd\ mmmm\ yyyy;@"/>
    </dxf>
    <dxf>
      <numFmt numFmtId="164" formatCode="[$-809]dd\ mmmm\ yyyy;@"/>
    </dxf>
    <dxf>
      <numFmt numFmtId="2" formatCode="0.00"/>
    </dxf>
    <dxf>
      <numFmt numFmtId="168" formatCode="_(&quot;$&quot;* #,##0.0_);_(&quot;$&quot;* \(#,##0.0\);_(&quot;$&quot;* &quot;-&quot;??_);_(@_)"/>
    </dxf>
    <dxf>
      <numFmt numFmtId="2" formatCode="0.00"/>
    </dxf>
    <dxf>
      <numFmt numFmtId="167" formatCode="_(&quot;$&quot;* #,##0_);_(&quot;$&quot;* \(#,##0\);_(&quot;$&quot;* &quot;-&quot;??_);_(@_)"/>
    </dxf>
    <dxf>
      <numFmt numFmtId="2" formatCode="0.00"/>
    </dxf>
    <dxf>
      <font>
        <b/>
        <color theme="1"/>
      </font>
      <border>
        <bottom style="thin">
          <color theme="4"/>
        </bottom>
        <vertical/>
        <horizontal/>
      </border>
    </dxf>
    <dxf>
      <font>
        <color theme="1"/>
      </font>
      <fill>
        <patternFill>
          <bgColor theme="0" tint="-4.9989318521683403E-2"/>
        </patternFill>
      </fill>
      <border>
        <vertical/>
        <horizontal/>
      </border>
    </dxf>
  </dxfs>
  <tableStyles count="1" defaultTableStyle="TableStyleMedium2" defaultPivotStyle="PivotStyleLight16">
    <tableStyle name="SlicerStyleDark1 2" pivot="0" table="0" count="10">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Table!PivotTable2</c:name>
    <c:fmtId val="3"/>
  </c:pivotSource>
  <c:chart>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2222222222222215E-2"/>
          <c:y val="0.20460754166084275"/>
          <c:w val="0.83246719160104976"/>
          <c:h val="0.55652013542685863"/>
        </c:manualLayout>
      </c:layout>
      <c:barChart>
        <c:barDir val="col"/>
        <c:grouping val="clustered"/>
        <c:varyColors val="0"/>
        <c:ser>
          <c:idx val="0"/>
          <c:order val="0"/>
          <c:tx>
            <c:strRef>
              <c:f>'Pivot Table'!$B$11</c:f>
              <c:strCache>
                <c:ptCount val="1"/>
                <c:pt idx="0">
                  <c:v>Number of Patients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Table'!$A$12:$A$17</c:f>
              <c:strCache>
                <c:ptCount val="5"/>
                <c:pt idx="0">
                  <c:v>&lt; 25</c:v>
                </c:pt>
                <c:pt idx="1">
                  <c:v>25-35</c:v>
                </c:pt>
                <c:pt idx="2">
                  <c:v>36-50</c:v>
                </c:pt>
                <c:pt idx="3">
                  <c:v>51-65</c:v>
                </c:pt>
                <c:pt idx="4">
                  <c:v>&gt;65</c:v>
                </c:pt>
              </c:strCache>
            </c:strRef>
          </c:cat>
          <c:val>
            <c:numRef>
              <c:f>'Pivot Table'!$B$12:$B$17</c:f>
              <c:numCache>
                <c:formatCode>General</c:formatCode>
                <c:ptCount val="5"/>
                <c:pt idx="0">
                  <c:v>51</c:v>
                </c:pt>
                <c:pt idx="1">
                  <c:v>73</c:v>
                </c:pt>
                <c:pt idx="2">
                  <c:v>95</c:v>
                </c:pt>
                <c:pt idx="3">
                  <c:v>115</c:v>
                </c:pt>
                <c:pt idx="4">
                  <c:v>166</c:v>
                </c:pt>
              </c:numCache>
            </c:numRef>
          </c:val>
        </c:ser>
        <c:ser>
          <c:idx val="1"/>
          <c:order val="1"/>
          <c:tx>
            <c:strRef>
              <c:f>'Pivot Table'!$C$11</c:f>
              <c:strCache>
                <c:ptCount val="1"/>
                <c:pt idx="0">
                  <c:v>Average Age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Table'!$A$12:$A$17</c:f>
              <c:strCache>
                <c:ptCount val="5"/>
                <c:pt idx="0">
                  <c:v>&lt; 25</c:v>
                </c:pt>
                <c:pt idx="1">
                  <c:v>25-35</c:v>
                </c:pt>
                <c:pt idx="2">
                  <c:v>36-50</c:v>
                </c:pt>
                <c:pt idx="3">
                  <c:v>51-65</c:v>
                </c:pt>
                <c:pt idx="4">
                  <c:v>&gt;65</c:v>
                </c:pt>
              </c:strCache>
            </c:strRef>
          </c:cat>
          <c:val>
            <c:numRef>
              <c:f>'Pivot Table'!$C$12:$C$17</c:f>
              <c:numCache>
                <c:formatCode>General</c:formatCode>
                <c:ptCount val="5"/>
                <c:pt idx="0">
                  <c:v>20.901960784313726</c:v>
                </c:pt>
                <c:pt idx="1">
                  <c:v>29.726027397260275</c:v>
                </c:pt>
                <c:pt idx="2">
                  <c:v>43.168421052631579</c:v>
                </c:pt>
                <c:pt idx="3">
                  <c:v>58.356521739130436</c:v>
                </c:pt>
                <c:pt idx="4">
                  <c:v>78.445783132530124</c:v>
                </c:pt>
              </c:numCache>
            </c:numRef>
          </c:val>
        </c:ser>
        <c:dLbls>
          <c:showLegendKey val="0"/>
          <c:showVal val="0"/>
          <c:showCatName val="0"/>
          <c:showSerName val="0"/>
          <c:showPercent val="0"/>
          <c:showBubbleSize val="0"/>
        </c:dLbls>
        <c:gapWidth val="219"/>
        <c:overlap val="-27"/>
        <c:axId val="59634560"/>
        <c:axId val="59631296"/>
      </c:barChart>
      <c:catAx>
        <c:axId val="596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1296"/>
        <c:crosses val="autoZero"/>
        <c:auto val="1"/>
        <c:lblAlgn val="ctr"/>
        <c:lblOffset val="100"/>
        <c:noMultiLvlLbl val="0"/>
      </c:catAx>
      <c:valAx>
        <c:axId val="59631296"/>
        <c:scaling>
          <c:orientation val="minMax"/>
        </c:scaling>
        <c:delete val="1"/>
        <c:axPos val="l"/>
        <c:majorGridlines>
          <c:spPr>
            <a:ln w="9525" cap="flat" cmpd="sng" algn="ctr">
              <a:solidFill>
                <a:schemeClr val="accent3">
                  <a:shade val="50000"/>
                  <a:alpha val="0"/>
                </a:schemeClr>
              </a:solidFill>
              <a:round/>
            </a:ln>
            <a:effectLst/>
          </c:spPr>
        </c:majorGridlines>
        <c:numFmt formatCode="General" sourceLinked="1"/>
        <c:majorTickMark val="none"/>
        <c:minorTickMark val="none"/>
        <c:tickLblPos val="nextTo"/>
        <c:crossAx val="59634560"/>
        <c:crosses val="autoZero"/>
        <c:crossBetween val="between"/>
      </c:valAx>
      <c:spPr>
        <a:noFill/>
        <a:ln>
          <a:noFill/>
        </a:ln>
        <a:effectLst/>
      </c:spPr>
    </c:plotArea>
    <c:legend>
      <c:legendPos val="r"/>
      <c:layout>
        <c:manualLayout>
          <c:xMode val="edge"/>
          <c:yMode val="edge"/>
          <c:x val="0.54992099943508677"/>
          <c:y val="0.87002691113553465"/>
          <c:w val="0.41674562566327428"/>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a:glow rad="25400">
        <a:schemeClr val="bg1">
          <a:lumMod val="95000"/>
        </a:schemeClr>
      </a:glow>
      <a:outerShdw blurRad="50800" dist="38100" dir="2700000" algn="tl"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latin typeface="Bahnschrift" panose="020B0502040204020203" pitchFamily="34" charset="0"/>
              </a:rPr>
              <a:t>TOTAL</a:t>
            </a:r>
            <a:r>
              <a:rPr lang="en-US" sz="1100" baseline="0">
                <a:solidFill>
                  <a:sysClr val="windowText" lastClr="000000"/>
                </a:solidFill>
                <a:latin typeface="Bahnschrift" panose="020B0502040204020203" pitchFamily="34" charset="0"/>
              </a:rPr>
              <a:t> PATIENTS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Table'!$E$32</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 Table'!$D$33:$D$48</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2024</c:v>
                  </c:pt>
                  <c:pt idx="3">
                    <c:v>2025</c:v>
                  </c:pt>
                </c:lvl>
              </c:multiLvlStrCache>
            </c:multiLvlStrRef>
          </c:cat>
          <c:val>
            <c:numRef>
              <c:f>'Pivot Table'!$E$33:$E$48</c:f>
              <c:numCache>
                <c:formatCode>General</c:formatCode>
                <c:ptCount val="13"/>
                <c:pt idx="0">
                  <c:v>36</c:v>
                </c:pt>
                <c:pt idx="1">
                  <c:v>43</c:v>
                </c:pt>
                <c:pt idx="2">
                  <c:v>44</c:v>
                </c:pt>
                <c:pt idx="3">
                  <c:v>50</c:v>
                </c:pt>
                <c:pt idx="4">
                  <c:v>30</c:v>
                </c:pt>
                <c:pt idx="5">
                  <c:v>49</c:v>
                </c:pt>
                <c:pt idx="6">
                  <c:v>33</c:v>
                </c:pt>
                <c:pt idx="7">
                  <c:v>39</c:v>
                </c:pt>
                <c:pt idx="8">
                  <c:v>43</c:v>
                </c:pt>
                <c:pt idx="9">
                  <c:v>45</c:v>
                </c:pt>
                <c:pt idx="10">
                  <c:v>45</c:v>
                </c:pt>
                <c:pt idx="11">
                  <c:v>36</c:v>
                </c:pt>
                <c:pt idx="12">
                  <c:v>7</c:v>
                </c:pt>
              </c:numCache>
            </c:numRef>
          </c:val>
        </c:ser>
        <c:dLbls>
          <c:showLegendKey val="0"/>
          <c:showVal val="0"/>
          <c:showCatName val="0"/>
          <c:showSerName val="0"/>
          <c:showPercent val="0"/>
          <c:showBubbleSize val="0"/>
        </c:dLbls>
        <c:gapWidth val="150"/>
        <c:axId val="59635648"/>
        <c:axId val="59636192"/>
      </c:barChart>
      <c:catAx>
        <c:axId val="5963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6192"/>
        <c:crosses val="autoZero"/>
        <c:auto val="1"/>
        <c:lblAlgn val="ctr"/>
        <c:lblOffset val="100"/>
        <c:noMultiLvlLbl val="0"/>
      </c:catAx>
      <c:valAx>
        <c:axId val="59636192"/>
        <c:scaling>
          <c:orientation val="minMax"/>
        </c:scaling>
        <c:delete val="1"/>
        <c:axPos val="l"/>
        <c:majorGridlines>
          <c:spPr>
            <a:ln w="9525" cap="flat" cmpd="sng" algn="ctr">
              <a:solidFill>
                <a:schemeClr val="accent3">
                  <a:shade val="50000"/>
                  <a:alpha val="0"/>
                </a:schemeClr>
              </a:solidFill>
              <a:round/>
            </a:ln>
            <a:effectLst/>
          </c:spPr>
        </c:majorGridlines>
        <c:numFmt formatCode="General" sourceLinked="1"/>
        <c:majorTickMark val="none"/>
        <c:minorTickMark val="none"/>
        <c:tickLblPos val="nextTo"/>
        <c:crossAx val="59635648"/>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latin typeface="Bahnschrift" panose="020B0502040204020203" pitchFamily="34" charset="0"/>
              </a:rPr>
              <a:t>TOTAL PATIENTS BY LENGTH OF STAY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tx1">
                <a:lumMod val="75000"/>
                <a:lumOff val="25000"/>
              </a:schemeClr>
            </a:solidFill>
            <a:round/>
          </a:ln>
          <a:effectLst/>
        </c:spPr>
        <c:marker>
          <c:symbol val="circle"/>
          <c:size val="5"/>
          <c:spPr>
            <a:solidFill>
              <a:schemeClr val="tx1">
                <a:lumMod val="95000"/>
                <a:lumOff val="5000"/>
              </a:schemeClr>
            </a:solidFill>
            <a:ln w="9525">
              <a:solidFill>
                <a:schemeClr val="tx1">
                  <a:lumMod val="95000"/>
                  <a:lumOff val="5000"/>
                </a:schemeClr>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Table'!$H$32</c:f>
              <c:strCache>
                <c:ptCount val="1"/>
                <c:pt idx="0">
                  <c:v>Total</c:v>
                </c:pt>
              </c:strCache>
            </c:strRef>
          </c:tx>
          <c:spPr>
            <a:ln w="28575" cap="rnd">
              <a:solidFill>
                <a:schemeClr val="tx1">
                  <a:lumMod val="75000"/>
                  <a:lumOff val="25000"/>
                </a:schemeClr>
              </a:solidFill>
              <a:round/>
            </a:ln>
            <a:effectLst/>
          </c:spPr>
          <c:marker>
            <c:symbol val="circle"/>
            <c:size val="5"/>
            <c:spPr>
              <a:solidFill>
                <a:schemeClr val="tx1">
                  <a:lumMod val="95000"/>
                  <a:lumOff val="5000"/>
                </a:schemeClr>
              </a:solidFill>
              <a:ln w="9525">
                <a:solidFill>
                  <a:schemeClr val="tx1">
                    <a:lumMod val="95000"/>
                    <a:lumOff val="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Table'!$G$33:$G$47</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'Pivot Table'!$H$33:$H$47</c:f>
              <c:numCache>
                <c:formatCode>General</c:formatCode>
                <c:ptCount val="14"/>
                <c:pt idx="0">
                  <c:v>47</c:v>
                </c:pt>
                <c:pt idx="1">
                  <c:v>32</c:v>
                </c:pt>
                <c:pt idx="2">
                  <c:v>39</c:v>
                </c:pt>
                <c:pt idx="3">
                  <c:v>39</c:v>
                </c:pt>
                <c:pt idx="4">
                  <c:v>36</c:v>
                </c:pt>
                <c:pt idx="5">
                  <c:v>35</c:v>
                </c:pt>
                <c:pt idx="6">
                  <c:v>25</c:v>
                </c:pt>
                <c:pt idx="7">
                  <c:v>39</c:v>
                </c:pt>
                <c:pt idx="8">
                  <c:v>35</c:v>
                </c:pt>
                <c:pt idx="9">
                  <c:v>36</c:v>
                </c:pt>
                <c:pt idx="10">
                  <c:v>38</c:v>
                </c:pt>
                <c:pt idx="11">
                  <c:v>39</c:v>
                </c:pt>
                <c:pt idx="12">
                  <c:v>30</c:v>
                </c:pt>
                <c:pt idx="13">
                  <c:v>30</c:v>
                </c:pt>
              </c:numCache>
            </c:numRef>
          </c:val>
          <c:smooth val="0"/>
        </c:ser>
        <c:dLbls>
          <c:showLegendKey val="0"/>
          <c:showVal val="0"/>
          <c:showCatName val="0"/>
          <c:showSerName val="0"/>
          <c:showPercent val="0"/>
          <c:showBubbleSize val="0"/>
        </c:dLbls>
        <c:marker val="1"/>
        <c:smooth val="0"/>
        <c:axId val="59642720"/>
        <c:axId val="59631840"/>
      </c:lineChart>
      <c:catAx>
        <c:axId val="5964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1840"/>
        <c:crosses val="autoZero"/>
        <c:auto val="1"/>
        <c:lblAlgn val="ctr"/>
        <c:lblOffset val="100"/>
        <c:noMultiLvlLbl val="0"/>
      </c:catAx>
      <c:valAx>
        <c:axId val="59631840"/>
        <c:scaling>
          <c:orientation val="minMax"/>
        </c:scaling>
        <c:delete val="1"/>
        <c:axPos val="l"/>
        <c:majorGridlines>
          <c:spPr>
            <a:ln w="9525" cap="flat" cmpd="sng" algn="ctr">
              <a:solidFill>
                <a:schemeClr val="accent1">
                  <a:alpha val="0"/>
                </a:schemeClr>
              </a:solidFill>
              <a:round/>
            </a:ln>
            <a:effectLst/>
          </c:spPr>
        </c:majorGridlines>
        <c:numFmt formatCode="General" sourceLinked="1"/>
        <c:majorTickMark val="none"/>
        <c:minorTickMark val="none"/>
        <c:tickLblPos val="nextTo"/>
        <c:crossAx val="5964272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Table!PivotTable11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a:latin typeface="Bahnschrift" panose="020B0502040204020203" pitchFamily="34" charset="0"/>
              </a:rPr>
              <a:t>TOTAL PATIENTS BY OUTCOME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Table'!$B$41</c:f>
              <c:strCache>
                <c:ptCount val="1"/>
                <c:pt idx="0">
                  <c:v>Count of Outcome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Table'!$A$42:$A$45</c:f>
              <c:strCache>
                <c:ptCount val="3"/>
                <c:pt idx="0">
                  <c:v>Deceases</c:v>
                </c:pt>
                <c:pt idx="1">
                  <c:v>Recovered</c:v>
                </c:pt>
                <c:pt idx="2">
                  <c:v>Referred</c:v>
                </c:pt>
              </c:strCache>
            </c:strRef>
          </c:cat>
          <c:val>
            <c:numRef>
              <c:f>'Pivot Table'!$B$42:$B$45</c:f>
              <c:numCache>
                <c:formatCode>General</c:formatCode>
                <c:ptCount val="3"/>
                <c:pt idx="0">
                  <c:v>163</c:v>
                </c:pt>
                <c:pt idx="1">
                  <c:v>159</c:v>
                </c:pt>
                <c:pt idx="2">
                  <c:v>178</c:v>
                </c:pt>
              </c:numCache>
            </c:numRef>
          </c:val>
        </c:ser>
        <c:ser>
          <c:idx val="1"/>
          <c:order val="1"/>
          <c:tx>
            <c:strRef>
              <c:f>'Pivot Table'!$C$41</c:f>
              <c:strCache>
                <c:ptCount val="1"/>
                <c:pt idx="0">
                  <c:v>Count of Outcome2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Table'!$A$42:$A$45</c:f>
              <c:strCache>
                <c:ptCount val="3"/>
                <c:pt idx="0">
                  <c:v>Deceases</c:v>
                </c:pt>
                <c:pt idx="1">
                  <c:v>Recovered</c:v>
                </c:pt>
                <c:pt idx="2">
                  <c:v>Referred</c:v>
                </c:pt>
              </c:strCache>
            </c:strRef>
          </c:cat>
          <c:val>
            <c:numRef>
              <c:f>'Pivot Table'!$C$42:$C$45</c:f>
              <c:numCache>
                <c:formatCode>0.00%</c:formatCode>
                <c:ptCount val="3"/>
                <c:pt idx="0">
                  <c:v>0.32600000000000001</c:v>
                </c:pt>
                <c:pt idx="1">
                  <c:v>0.318</c:v>
                </c:pt>
                <c:pt idx="2">
                  <c:v>0.35599999999999998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latin typeface="Bahnschrift" panose="020B0502040204020203" pitchFamily="34" charset="0"/>
              </a:rPr>
              <a:t>TOTAL TREATMENT COST BY DIAGNOSIS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Table'!$B$32</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Table'!$A$33:$A$38</c:f>
              <c:strCache>
                <c:ptCount val="5"/>
                <c:pt idx="0">
                  <c:v>Diabetes</c:v>
                </c:pt>
                <c:pt idx="1">
                  <c:v>Flu</c:v>
                </c:pt>
                <c:pt idx="2">
                  <c:v>Heart Disease</c:v>
                </c:pt>
                <c:pt idx="3">
                  <c:v>Hypertension</c:v>
                </c:pt>
                <c:pt idx="4">
                  <c:v>Pneumonia</c:v>
                </c:pt>
              </c:strCache>
            </c:strRef>
          </c:cat>
          <c:val>
            <c:numRef>
              <c:f>'Pivot Table'!$B$33:$B$38</c:f>
              <c:numCache>
                <c:formatCode>General</c:formatCode>
                <c:ptCount val="5"/>
                <c:pt idx="0">
                  <c:v>275798.10000000009</c:v>
                </c:pt>
                <c:pt idx="1">
                  <c:v>216275.95000000004</c:v>
                </c:pt>
                <c:pt idx="2">
                  <c:v>239888.60000000003</c:v>
                </c:pt>
                <c:pt idx="3">
                  <c:v>275625.76999999996</c:v>
                </c:pt>
                <c:pt idx="4">
                  <c:v>249625.42999999993</c:v>
                </c:pt>
              </c:numCache>
            </c:numRef>
          </c:val>
        </c:ser>
        <c:dLbls>
          <c:showLegendKey val="0"/>
          <c:showVal val="0"/>
          <c:showCatName val="0"/>
          <c:showSerName val="0"/>
          <c:showPercent val="0"/>
          <c:showBubbleSize val="0"/>
        </c:dLbls>
        <c:gapWidth val="219"/>
        <c:axId val="59637824"/>
        <c:axId val="59636736"/>
      </c:barChart>
      <c:catAx>
        <c:axId val="5963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6736"/>
        <c:crosses val="autoZero"/>
        <c:auto val="1"/>
        <c:lblAlgn val="ctr"/>
        <c:lblOffset val="100"/>
        <c:noMultiLvlLbl val="0"/>
      </c:catAx>
      <c:valAx>
        <c:axId val="59636736"/>
        <c:scaling>
          <c:orientation val="minMax"/>
        </c:scaling>
        <c:delete val="1"/>
        <c:axPos val="b"/>
        <c:majorGridlines>
          <c:spPr>
            <a:ln w="9525" cap="flat" cmpd="sng" algn="ctr">
              <a:solidFill>
                <a:schemeClr val="accent3">
                  <a:shade val="50000"/>
                  <a:alpha val="0"/>
                </a:schemeClr>
              </a:solidFill>
              <a:round/>
            </a:ln>
            <a:effectLst/>
          </c:spPr>
        </c:majorGridlines>
        <c:numFmt formatCode="General" sourceLinked="1"/>
        <c:majorTickMark val="none"/>
        <c:minorTickMark val="none"/>
        <c:tickLblPos val="nextTo"/>
        <c:crossAx val="5963782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latin typeface="Bahnschrift" panose="020B0502040204020203" pitchFamily="34" charset="0"/>
              </a:rPr>
              <a:t>TOTAL</a:t>
            </a:r>
            <a:r>
              <a:rPr lang="en-US" sz="1100" baseline="0">
                <a:solidFill>
                  <a:sysClr val="windowText" lastClr="000000"/>
                </a:solidFill>
                <a:latin typeface="Bahnschrift" panose="020B0502040204020203" pitchFamily="34" charset="0"/>
              </a:rPr>
              <a:t> PATIENTS BY DIAGNOSIS</a:t>
            </a:r>
            <a:endParaRPr lang="en-US" sz="1100">
              <a:solidFill>
                <a:sysClr val="windowText" lastClr="000000"/>
              </a:solidFill>
              <a:latin typeface="Bahnschrift" panose="020B05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Table'!$B$51</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Table'!$A$52:$A$57</c:f>
              <c:strCache>
                <c:ptCount val="5"/>
                <c:pt idx="0">
                  <c:v>Diabetes</c:v>
                </c:pt>
                <c:pt idx="1">
                  <c:v>Flu</c:v>
                </c:pt>
                <c:pt idx="2">
                  <c:v>Heart Disease</c:v>
                </c:pt>
                <c:pt idx="3">
                  <c:v>Hypertension</c:v>
                </c:pt>
                <c:pt idx="4">
                  <c:v>Pneumonia</c:v>
                </c:pt>
              </c:strCache>
            </c:strRef>
          </c:cat>
          <c:val>
            <c:numRef>
              <c:f>'Pivot Table'!$B$52:$B$57</c:f>
              <c:numCache>
                <c:formatCode>General</c:formatCode>
                <c:ptCount val="5"/>
                <c:pt idx="0">
                  <c:v>115</c:v>
                </c:pt>
                <c:pt idx="1">
                  <c:v>85</c:v>
                </c:pt>
                <c:pt idx="2">
                  <c:v>90</c:v>
                </c:pt>
                <c:pt idx="3">
                  <c:v>106</c:v>
                </c:pt>
                <c:pt idx="4">
                  <c:v>104</c:v>
                </c:pt>
              </c:numCache>
            </c:numRef>
          </c:val>
        </c:ser>
        <c:dLbls>
          <c:showLegendKey val="0"/>
          <c:showVal val="0"/>
          <c:showCatName val="0"/>
          <c:showSerName val="0"/>
          <c:showPercent val="0"/>
          <c:showBubbleSize val="0"/>
        </c:dLbls>
        <c:gapWidth val="182"/>
        <c:axId val="59643264"/>
        <c:axId val="59644352"/>
      </c:barChart>
      <c:catAx>
        <c:axId val="5964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4352"/>
        <c:crosses val="autoZero"/>
        <c:auto val="1"/>
        <c:lblAlgn val="ctr"/>
        <c:lblOffset val="100"/>
        <c:noMultiLvlLbl val="0"/>
      </c:catAx>
      <c:valAx>
        <c:axId val="59644352"/>
        <c:scaling>
          <c:orientation val="minMax"/>
        </c:scaling>
        <c:delete val="1"/>
        <c:axPos val="b"/>
        <c:majorGridlines>
          <c:spPr>
            <a:ln w="9525" cap="flat" cmpd="sng" algn="ctr">
              <a:solidFill>
                <a:schemeClr val="accent3">
                  <a:shade val="50000"/>
                  <a:alpha val="0"/>
                </a:schemeClr>
              </a:solidFill>
              <a:round/>
            </a:ln>
            <a:effectLst/>
          </c:spPr>
        </c:majorGridlines>
        <c:numFmt formatCode="General" sourceLinked="1"/>
        <c:majorTickMark val="none"/>
        <c:minorTickMark val="none"/>
        <c:tickLblPos val="nextTo"/>
        <c:crossAx val="5964326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latin typeface="Bahnschrift" panose="020B0502040204020203" pitchFamily="34" charset="0"/>
              </a:rPr>
              <a:t>SMOKER vs. NON-SMOKER PATIENTS – COUNT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420906142919036"/>
              <c:y val="-0.22446110907629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dLbl>
          <c:idx val="0"/>
          <c:layout>
            <c:manualLayout>
              <c:x val="-0.10420906142919037"/>
              <c:y val="-0.20058226768519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7231649358663"/>
          <c:y val="0.27976918326385675"/>
          <c:w val="0.60412167351547219"/>
          <c:h val="0.56835379033503164"/>
        </c:manualLayout>
      </c:layout>
      <c:doughnutChart>
        <c:varyColors val="1"/>
        <c:ser>
          <c:idx val="0"/>
          <c:order val="0"/>
          <c:tx>
            <c:strRef>
              <c:f>'Pivot Table'!$B$20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0420906142919036"/>
                  <c:y val="-0.22446110907629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0420906142919037"/>
                  <c:y val="-0.20058226768519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Table'!$A$21:$A$23</c:f>
              <c:strCache>
                <c:ptCount val="2"/>
                <c:pt idx="0">
                  <c:v>No</c:v>
                </c:pt>
                <c:pt idx="1">
                  <c:v>Yes</c:v>
                </c:pt>
              </c:strCache>
            </c:strRef>
          </c:cat>
          <c:val>
            <c:numRef>
              <c:f>'Pivot Table'!$B$21:$B$23</c:f>
              <c:numCache>
                <c:formatCode>General</c:formatCode>
                <c:ptCount val="2"/>
                <c:pt idx="0">
                  <c:v>263</c:v>
                </c:pt>
                <c:pt idx="1">
                  <c:v>237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latin typeface="Bahnschrift" panose="020B0502040204020203" pitchFamily="34" charset="0"/>
              </a:rPr>
              <a:t>PATIENT</a:t>
            </a:r>
            <a:r>
              <a:rPr lang="en-US" sz="1100" baseline="0">
                <a:solidFill>
                  <a:sysClr val="windowText" lastClr="000000"/>
                </a:solidFill>
                <a:latin typeface="Bahnschrift" panose="020B0502040204020203" pitchFamily="34" charset="0"/>
              </a:rPr>
              <a:t> COUNT</a:t>
            </a:r>
            <a:r>
              <a:rPr lang="en-US" sz="1100">
                <a:solidFill>
                  <a:sysClr val="windowText" lastClr="000000"/>
                </a:solidFill>
                <a:latin typeface="Bahnschrift" panose="020B0502040204020203" pitchFamily="34" charset="0"/>
              </a:rPr>
              <a:t> BY BLOOD PRESSURE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tx1">
              <a:lumMod val="65000"/>
              <a:lumOff val="35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662355572197021"/>
          <c:y val="0.28018201460658237"/>
          <c:w val="0.59069155520635763"/>
          <c:h val="0.563175478357967"/>
        </c:manualLayout>
      </c:layout>
      <c:doughnutChart>
        <c:varyColors val="1"/>
        <c:ser>
          <c:idx val="0"/>
          <c:order val="0"/>
          <c:tx>
            <c:strRef>
              <c:f>'Pivot Table'!$F$26</c:f>
              <c:strCache>
                <c:ptCount val="1"/>
                <c:pt idx="0">
                  <c:v>Total</c:v>
                </c:pt>
              </c:strCache>
            </c:strRef>
          </c:tx>
          <c:dPt>
            <c:idx val="0"/>
            <c:bubble3D val="0"/>
            <c:spPr>
              <a:solidFill>
                <a:schemeClr val="tx1">
                  <a:lumMod val="65000"/>
                  <a:lumOff val="35000"/>
                </a:schemeClr>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Table'!$E$27:$E$29</c:f>
              <c:strCache>
                <c:ptCount val="2"/>
                <c:pt idx="0">
                  <c:v>High</c:v>
                </c:pt>
                <c:pt idx="1">
                  <c:v>Normal</c:v>
                </c:pt>
              </c:strCache>
            </c:strRef>
          </c:cat>
          <c:val>
            <c:numRef>
              <c:f>'Pivot Table'!$F$27:$F$29</c:f>
              <c:numCache>
                <c:formatCode>General</c:formatCode>
                <c:ptCount val="2"/>
                <c:pt idx="0">
                  <c:v>410</c:v>
                </c:pt>
                <c:pt idx="1">
                  <c:v>90</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latin typeface="Bahnschrift" panose="020B0502040204020203" pitchFamily="34" charset="0"/>
              </a:rPr>
              <a:t>PATIENT COUNT BY DIABETIC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323587231281612"/>
              <c:y val="-0.15602834156538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dLbl>
          <c:idx val="0"/>
          <c:layout>
            <c:manualLayout>
              <c:x val="-6.7219566716081577E-2"/>
              <c:y val="-0.2096630839784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004076399183663"/>
          <c:y val="0.29495652975154102"/>
          <c:w val="0.6217064507407164"/>
          <c:h val="0.54115842597196173"/>
        </c:manualLayout>
      </c:layout>
      <c:doughnutChart>
        <c:varyColors val="1"/>
        <c:ser>
          <c:idx val="0"/>
          <c:order val="0"/>
          <c:tx>
            <c:strRef>
              <c:f>'Pivot Table'!$E$20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2323587231281612"/>
                  <c:y val="-0.15602834156538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6.7219566716081577E-2"/>
                  <c:y val="-0.2096630839784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Table'!$D$21:$D$23</c:f>
              <c:strCache>
                <c:ptCount val="2"/>
                <c:pt idx="0">
                  <c:v>No</c:v>
                </c:pt>
                <c:pt idx="1">
                  <c:v>Yes</c:v>
                </c:pt>
              </c:strCache>
            </c:strRef>
          </c:cat>
          <c:val>
            <c:numRef>
              <c:f>'Pivot Table'!$E$21:$E$23</c:f>
              <c:numCache>
                <c:formatCode>General</c:formatCode>
                <c:ptCount val="2"/>
                <c:pt idx="0">
                  <c:v>239</c:v>
                </c:pt>
                <c:pt idx="1">
                  <c:v>261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[synthetic_healthcare_data.xlsx]Pivot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latin typeface="Bahnschrift" panose="020B0502040204020203" pitchFamily="34" charset="0"/>
              </a:rPr>
              <a:t>GENDER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General</c:formatCode>
                <c:ptCount val="2"/>
                <c:pt idx="0">
                  <c:v>251</c:v>
                </c:pt>
                <c:pt idx="1">
                  <c:v>249</c:v>
                </c:pt>
              </c:numCache>
            </c:numRef>
          </c:val>
        </c:ser>
        <c:dLbls>
          <c:dLblPos val="outEnd"/>
          <c:showLegendKey val="0"/>
          <c:showVal val="1"/>
          <c:showCatName val="0"/>
          <c:showSerName val="0"/>
          <c:showPercent val="0"/>
          <c:showBubbleSize val="0"/>
        </c:dLbls>
        <c:gapWidth val="219"/>
        <c:overlap val="-27"/>
        <c:axId val="59638368"/>
        <c:axId val="59630752"/>
      </c:barChart>
      <c:catAx>
        <c:axId val="5963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0752"/>
        <c:crosses val="autoZero"/>
        <c:auto val="1"/>
        <c:lblAlgn val="ctr"/>
        <c:lblOffset val="100"/>
        <c:noMultiLvlLbl val="0"/>
      </c:catAx>
      <c:valAx>
        <c:axId val="59630752"/>
        <c:scaling>
          <c:orientation val="minMax"/>
        </c:scaling>
        <c:delete val="1"/>
        <c:axPos val="l"/>
        <c:majorGridlines>
          <c:spPr>
            <a:ln w="9525" cap="flat" cmpd="sng" algn="ctr">
              <a:solidFill>
                <a:schemeClr val="accent1">
                  <a:alpha val="0"/>
                </a:schemeClr>
              </a:solidFill>
              <a:round/>
            </a:ln>
            <a:effectLst/>
          </c:spPr>
        </c:majorGridlines>
        <c:numFmt formatCode="General" sourceLinked="1"/>
        <c:majorTickMark val="none"/>
        <c:minorTickMark val="none"/>
        <c:tickLblPos val="nextTo"/>
        <c:crossAx val="59638368"/>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9</xdr:col>
      <xdr:colOff>136070</xdr:colOff>
      <xdr:row>5</xdr:row>
      <xdr:rowOff>81644</xdr:rowOff>
    </xdr:from>
    <xdr:to>
      <xdr:col>10</xdr:col>
      <xdr:colOff>830481</xdr:colOff>
      <xdr:row>14</xdr:row>
      <xdr:rowOff>112124</xdr:rowOff>
    </xdr:to>
    <mc:AlternateContent xmlns:mc="http://schemas.openxmlformats.org/markup-compatibility/2006" xmlns:a14="http://schemas.microsoft.com/office/drawing/2010/main">
      <mc:Choice Requires="a14">
        <xdr:graphicFrame macro="">
          <xdr:nvGraphicFramePr>
            <xdr:cNvPr id="2" name="Diagnosis"/>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2763499" y="1006930"/>
              <a:ext cx="1826525" cy="1695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1514500</xdr:colOff>
      <xdr:row>5</xdr:row>
      <xdr:rowOff>67691</xdr:rowOff>
    </xdr:from>
    <xdr:to>
      <xdr:col>11</xdr:col>
      <xdr:colOff>1632958</xdr:colOff>
      <xdr:row>10</xdr:row>
      <xdr:rowOff>67691</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274043" y="992977"/>
              <a:ext cx="1827515" cy="925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392975</xdr:colOff>
      <xdr:row>5</xdr:row>
      <xdr:rowOff>10885</xdr:rowOff>
    </xdr:from>
    <xdr:to>
      <xdr:col>13</xdr:col>
      <xdr:colOff>186147</xdr:colOff>
      <xdr:row>18</xdr:row>
      <xdr:rowOff>72117</xdr:rowOff>
    </xdr:to>
    <mc:AlternateContent xmlns:mc="http://schemas.openxmlformats.org/markup-compatibility/2006" xmlns:a14="http://schemas.microsoft.com/office/drawing/2010/main">
      <mc:Choice Requires="a14">
        <xdr:graphicFrame macro="">
          <xdr:nvGraphicFramePr>
            <xdr:cNvPr id="16"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8038718" y="93617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283029</xdr:colOff>
      <xdr:row>4</xdr:row>
      <xdr:rowOff>66303</xdr:rowOff>
    </xdr:from>
    <xdr:to>
      <xdr:col>32</xdr:col>
      <xdr:colOff>338447</xdr:colOff>
      <xdr:row>49</xdr:row>
      <xdr:rowOff>77188</xdr:rowOff>
    </xdr:to>
    <xdr:sp macro="" textlink="">
      <xdr:nvSpPr>
        <xdr:cNvPr id="12" name="Rounded Rectangle 11"/>
        <xdr:cNvSpPr/>
      </xdr:nvSpPr>
      <xdr:spPr>
        <a:xfrm>
          <a:off x="892629" y="806532"/>
          <a:ext cx="18953018" cy="8338456"/>
        </a:xfrm>
        <a:prstGeom prst="roundRect">
          <a:avLst/>
        </a:prstGeom>
        <a:solidFill>
          <a:schemeClr val="tx1">
            <a:lumMod val="65000"/>
            <a:lumOff val="3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21772</xdr:colOff>
      <xdr:row>9</xdr:row>
      <xdr:rowOff>110587</xdr:rowOff>
    </xdr:from>
    <xdr:to>
      <xdr:col>18</xdr:col>
      <xdr:colOff>396973</xdr:colOff>
      <xdr:row>14</xdr:row>
      <xdr:rowOff>21771</xdr:rowOff>
    </xdr:to>
    <xdr:sp macro="" textlink="">
      <xdr:nvSpPr>
        <xdr:cNvPr id="25" name="Rounded Rectangle 24"/>
        <xdr:cNvSpPr/>
      </xdr:nvSpPr>
      <xdr:spPr>
        <a:xfrm>
          <a:off x="9775372" y="1776101"/>
          <a:ext cx="1594401" cy="83647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190155</xdr:colOff>
      <xdr:row>8</xdr:row>
      <xdr:rowOff>134848</xdr:rowOff>
    </xdr:from>
    <xdr:to>
      <xdr:col>9</xdr:col>
      <xdr:colOff>388275</xdr:colOff>
      <xdr:row>14</xdr:row>
      <xdr:rowOff>39374</xdr:rowOff>
    </xdr:to>
    <xdr:grpSp>
      <xdr:nvGrpSpPr>
        <xdr:cNvPr id="14" name="Group 13"/>
        <xdr:cNvGrpSpPr/>
      </xdr:nvGrpSpPr>
      <xdr:grpSpPr>
        <a:xfrm>
          <a:off x="4457355" y="1615305"/>
          <a:ext cx="1417320" cy="1014869"/>
          <a:chOff x="1933848" y="334748"/>
          <a:chExt cx="1417320" cy="985181"/>
        </a:xfrm>
      </xdr:grpSpPr>
      <xdr:sp macro="" textlink="'Pivot Table'!$I$3">
        <xdr:nvSpPr>
          <xdr:cNvPr id="2" name="Rounded Rectangle 1"/>
          <xdr:cNvSpPr/>
        </xdr:nvSpPr>
        <xdr:spPr>
          <a:xfrm>
            <a:off x="1933848" y="334748"/>
            <a:ext cx="1417320" cy="985181"/>
          </a:xfrm>
          <a:prstGeom prst="round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96D776A-B3D3-40A2-BDEA-045724910497}" type="TxLink">
              <a:rPr lang="en-US" sz="2000" b="0" i="0" u="none" strike="noStrike">
                <a:solidFill>
                  <a:srgbClr val="000000"/>
                </a:solidFill>
                <a:latin typeface="Bahnschrift" panose="020B0502040204020203" pitchFamily="34" charset="0"/>
                <a:cs typeface="Calibri"/>
              </a:rPr>
              <a:pPr algn="ctr"/>
              <a:t>500</a:t>
            </a:fld>
            <a:endParaRPr lang="en-US" sz="2000">
              <a:solidFill>
                <a:schemeClr val="tx1"/>
              </a:solidFill>
              <a:latin typeface="Bahnschrift" panose="020B0502040204020203" pitchFamily="34" charset="0"/>
            </a:endParaRPr>
          </a:p>
        </xdr:txBody>
      </xdr:sp>
      <xdr:sp macro="" textlink="">
        <xdr:nvSpPr>
          <xdr:cNvPr id="6" name="TextBox 5"/>
          <xdr:cNvSpPr txBox="1"/>
        </xdr:nvSpPr>
        <xdr:spPr>
          <a:xfrm>
            <a:off x="1970737" y="870868"/>
            <a:ext cx="1303020" cy="36082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900">
                <a:solidFill>
                  <a:schemeClr val="tx1">
                    <a:lumMod val="75000"/>
                    <a:lumOff val="25000"/>
                  </a:schemeClr>
                </a:solidFill>
                <a:latin typeface="Bahnschrift" panose="020B0502040204020203" pitchFamily="34" charset="0"/>
              </a:rPr>
              <a:t>TOTAL</a:t>
            </a:r>
            <a:r>
              <a:rPr lang="en-US" sz="900" baseline="0">
                <a:solidFill>
                  <a:schemeClr val="tx1">
                    <a:lumMod val="75000"/>
                    <a:lumOff val="25000"/>
                  </a:schemeClr>
                </a:solidFill>
                <a:latin typeface="Bahnschrift" panose="020B0502040204020203" pitchFamily="34" charset="0"/>
              </a:rPr>
              <a:t> PATIENTS</a:t>
            </a:r>
            <a:endParaRPr lang="en-US" sz="900">
              <a:solidFill>
                <a:schemeClr val="tx1">
                  <a:lumMod val="75000"/>
                  <a:lumOff val="25000"/>
                </a:schemeClr>
              </a:solidFill>
              <a:latin typeface="Bahnschrift" panose="020B0502040204020203" pitchFamily="34" charset="0"/>
            </a:endParaRPr>
          </a:p>
        </xdr:txBody>
      </xdr:sp>
    </xdr:grpSp>
    <xdr:clientData/>
  </xdr:twoCellAnchor>
  <xdr:twoCellAnchor>
    <xdr:from>
      <xdr:col>9</xdr:col>
      <xdr:colOff>553151</xdr:colOff>
      <xdr:row>8</xdr:row>
      <xdr:rowOff>148373</xdr:rowOff>
    </xdr:from>
    <xdr:to>
      <xdr:col>12</xdr:col>
      <xdr:colOff>141671</xdr:colOff>
      <xdr:row>14</xdr:row>
      <xdr:rowOff>52899</xdr:rowOff>
    </xdr:to>
    <xdr:grpSp>
      <xdr:nvGrpSpPr>
        <xdr:cNvPr id="5" name="Group 4"/>
        <xdr:cNvGrpSpPr/>
      </xdr:nvGrpSpPr>
      <xdr:grpSpPr>
        <a:xfrm>
          <a:off x="6039551" y="1628830"/>
          <a:ext cx="1417320" cy="1014869"/>
          <a:chOff x="2491740" y="198120"/>
          <a:chExt cx="1417320" cy="998220"/>
        </a:xfrm>
      </xdr:grpSpPr>
      <xdr:sp macro="" textlink="'Pivot Table'!$J$3">
        <xdr:nvSpPr>
          <xdr:cNvPr id="8" name="Rounded Rectangle 7"/>
          <xdr:cNvSpPr/>
        </xdr:nvSpPr>
        <xdr:spPr>
          <a:xfrm>
            <a:off x="2491740" y="198120"/>
            <a:ext cx="1417320" cy="998220"/>
          </a:xfrm>
          <a:prstGeom prst="round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6E3C052-D797-410C-ADB8-45F91C0854EA}" type="TxLink">
              <a:rPr lang="en-US" sz="2000" b="0" i="0" u="none" strike="noStrike">
                <a:solidFill>
                  <a:srgbClr val="000000"/>
                </a:solidFill>
                <a:latin typeface="Bahnschrift" panose="020B0502040204020203" pitchFamily="34" charset="0"/>
                <a:cs typeface="Calibri"/>
              </a:rPr>
              <a:pPr algn="ctr"/>
              <a:t>54.14</a:t>
            </a:fld>
            <a:endParaRPr lang="en-US" sz="2000">
              <a:solidFill>
                <a:schemeClr val="tx1"/>
              </a:solidFill>
              <a:latin typeface="Bahnschrift" panose="020B0502040204020203" pitchFamily="34" charset="0"/>
            </a:endParaRPr>
          </a:p>
        </xdr:txBody>
      </xdr:sp>
      <xdr:sp macro="" textlink="">
        <xdr:nvSpPr>
          <xdr:cNvPr id="11" name="TextBox 10"/>
          <xdr:cNvSpPr txBox="1"/>
        </xdr:nvSpPr>
        <xdr:spPr>
          <a:xfrm>
            <a:off x="2514600" y="723900"/>
            <a:ext cx="1303020" cy="36576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900">
                <a:solidFill>
                  <a:schemeClr val="tx1">
                    <a:lumMod val="75000"/>
                    <a:lumOff val="25000"/>
                  </a:schemeClr>
                </a:solidFill>
                <a:latin typeface="Bahnschrift" panose="020B0502040204020203" pitchFamily="34" charset="0"/>
              </a:rPr>
              <a:t>AVERAGE AGE</a:t>
            </a:r>
          </a:p>
        </xdr:txBody>
      </xdr:sp>
    </xdr:grpSp>
    <xdr:clientData/>
  </xdr:twoCellAnchor>
  <xdr:twoCellAnchor>
    <xdr:from>
      <xdr:col>12</xdr:col>
      <xdr:colOff>359096</xdr:colOff>
      <xdr:row>8</xdr:row>
      <xdr:rowOff>155950</xdr:rowOff>
    </xdr:from>
    <xdr:to>
      <xdr:col>14</xdr:col>
      <xdr:colOff>557216</xdr:colOff>
      <xdr:row>14</xdr:row>
      <xdr:rowOff>59661</xdr:rowOff>
    </xdr:to>
    <xdr:grpSp>
      <xdr:nvGrpSpPr>
        <xdr:cNvPr id="7" name="Group 6"/>
        <xdr:cNvGrpSpPr/>
      </xdr:nvGrpSpPr>
      <xdr:grpSpPr>
        <a:xfrm>
          <a:off x="7674296" y="1636407"/>
          <a:ext cx="1417320" cy="1014054"/>
          <a:chOff x="4213860" y="182880"/>
          <a:chExt cx="1417320" cy="998220"/>
        </a:xfrm>
      </xdr:grpSpPr>
      <xdr:sp macro="" textlink="'Pivot Table'!$K$3">
        <xdr:nvSpPr>
          <xdr:cNvPr id="13" name="Rounded Rectangle 12"/>
          <xdr:cNvSpPr/>
        </xdr:nvSpPr>
        <xdr:spPr>
          <a:xfrm>
            <a:off x="4213860" y="182880"/>
            <a:ext cx="1417320" cy="998220"/>
          </a:xfrm>
          <a:prstGeom prst="round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9F4D7B9-CE49-4831-99BD-BF46F687CD94}" type="TxLink">
              <a:rPr lang="en-US" sz="1800" b="0" i="0" u="none" strike="noStrike">
                <a:solidFill>
                  <a:srgbClr val="000000"/>
                </a:solidFill>
                <a:latin typeface="Bahnschrift" panose="020B0502040204020203" pitchFamily="34" charset="0"/>
                <a:cs typeface="Calibri"/>
              </a:rPr>
              <a:pPr algn="ctr"/>
              <a:t> $1,257,214 </a:t>
            </a:fld>
            <a:endParaRPr lang="en-US" sz="1800">
              <a:solidFill>
                <a:schemeClr val="tx1"/>
              </a:solidFill>
              <a:latin typeface="Bahnschrift" panose="020B0502040204020203" pitchFamily="34" charset="0"/>
            </a:endParaRPr>
          </a:p>
        </xdr:txBody>
      </xdr:sp>
      <xdr:sp macro="" textlink="">
        <xdr:nvSpPr>
          <xdr:cNvPr id="15" name="TextBox 14"/>
          <xdr:cNvSpPr txBox="1"/>
        </xdr:nvSpPr>
        <xdr:spPr>
          <a:xfrm>
            <a:off x="4265856" y="780334"/>
            <a:ext cx="1303020" cy="36576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tx1">
                    <a:lumMod val="75000"/>
                    <a:lumOff val="25000"/>
                  </a:schemeClr>
                </a:solidFill>
                <a:latin typeface="Bahnschrift" panose="020B0502040204020203" pitchFamily="34" charset="0"/>
              </a:rPr>
              <a:t>TOTAL</a:t>
            </a:r>
            <a:r>
              <a:rPr lang="en-US" sz="900" baseline="0">
                <a:solidFill>
                  <a:schemeClr val="tx1">
                    <a:lumMod val="75000"/>
                    <a:lumOff val="25000"/>
                  </a:schemeClr>
                </a:solidFill>
                <a:latin typeface="Bahnschrift" panose="020B0502040204020203" pitchFamily="34" charset="0"/>
              </a:rPr>
              <a:t> COST OF TREATMENT</a:t>
            </a:r>
            <a:endParaRPr lang="en-US" sz="900">
              <a:solidFill>
                <a:schemeClr val="tx1">
                  <a:lumMod val="75000"/>
                  <a:lumOff val="25000"/>
                </a:schemeClr>
              </a:solidFill>
              <a:latin typeface="Bahnschrift" panose="020B0502040204020203" pitchFamily="34" charset="0"/>
            </a:endParaRPr>
          </a:p>
        </xdr:txBody>
      </xdr:sp>
    </xdr:grpSp>
    <xdr:clientData/>
  </xdr:twoCellAnchor>
  <xdr:twoCellAnchor>
    <xdr:from>
      <xdr:col>19</xdr:col>
      <xdr:colOff>434905</xdr:colOff>
      <xdr:row>8</xdr:row>
      <xdr:rowOff>122130</xdr:rowOff>
    </xdr:from>
    <xdr:to>
      <xdr:col>22</xdr:col>
      <xdr:colOff>23425</xdr:colOff>
      <xdr:row>14</xdr:row>
      <xdr:rowOff>25841</xdr:rowOff>
    </xdr:to>
    <xdr:grpSp>
      <xdr:nvGrpSpPr>
        <xdr:cNvPr id="9" name="Group 8"/>
        <xdr:cNvGrpSpPr/>
      </xdr:nvGrpSpPr>
      <xdr:grpSpPr>
        <a:xfrm>
          <a:off x="12017305" y="1602587"/>
          <a:ext cx="1417320" cy="1014054"/>
          <a:chOff x="6096000" y="182880"/>
          <a:chExt cx="1417320" cy="998220"/>
        </a:xfrm>
      </xdr:grpSpPr>
      <xdr:sp macro="" textlink="'Pivot Table'!$L$3">
        <xdr:nvSpPr>
          <xdr:cNvPr id="19" name="Rounded Rectangle 18"/>
          <xdr:cNvSpPr/>
        </xdr:nvSpPr>
        <xdr:spPr>
          <a:xfrm>
            <a:off x="6096000" y="182880"/>
            <a:ext cx="1417320" cy="998220"/>
          </a:xfrm>
          <a:prstGeom prst="round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0545DF5-2C30-4CCD-A6B2-94B63C9EEB32}" type="TxLink">
              <a:rPr lang="en-US" sz="2000" b="0" i="0" u="none" strike="noStrike">
                <a:solidFill>
                  <a:srgbClr val="000000"/>
                </a:solidFill>
                <a:latin typeface="Bahnschrift" panose="020B0502040204020203" pitchFamily="34" charset="0"/>
                <a:cs typeface="Calibri"/>
              </a:rPr>
              <a:pPr algn="ctr"/>
              <a:t>7.26</a:t>
            </a:fld>
            <a:endParaRPr lang="en-US" sz="2000">
              <a:solidFill>
                <a:schemeClr val="tx1"/>
              </a:solidFill>
              <a:latin typeface="Bahnschrift" panose="020B0502040204020203" pitchFamily="34" charset="0"/>
            </a:endParaRPr>
          </a:p>
        </xdr:txBody>
      </xdr:sp>
      <xdr:sp macro="" textlink="">
        <xdr:nvSpPr>
          <xdr:cNvPr id="22" name="TextBox 21"/>
          <xdr:cNvSpPr txBox="1"/>
        </xdr:nvSpPr>
        <xdr:spPr>
          <a:xfrm>
            <a:off x="6141720" y="777240"/>
            <a:ext cx="1303020" cy="36576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tx1">
                    <a:lumMod val="75000"/>
                    <a:lumOff val="25000"/>
                  </a:schemeClr>
                </a:solidFill>
                <a:latin typeface="Bahnschrift" panose="020B0502040204020203" pitchFamily="34" charset="0"/>
              </a:rPr>
              <a:t>AVERAGE</a:t>
            </a:r>
            <a:r>
              <a:rPr lang="en-US" sz="900" baseline="0">
                <a:solidFill>
                  <a:schemeClr val="tx1">
                    <a:lumMod val="75000"/>
                    <a:lumOff val="25000"/>
                  </a:schemeClr>
                </a:solidFill>
                <a:latin typeface="Bahnschrift" panose="020B0502040204020203" pitchFamily="34" charset="0"/>
              </a:rPr>
              <a:t> LENGTH OF ADMISSION</a:t>
            </a:r>
            <a:endParaRPr lang="en-US" sz="900">
              <a:solidFill>
                <a:schemeClr val="tx1">
                  <a:lumMod val="75000"/>
                  <a:lumOff val="25000"/>
                </a:schemeClr>
              </a:solidFill>
              <a:latin typeface="Bahnschrift" panose="020B0502040204020203" pitchFamily="34" charset="0"/>
            </a:endParaRPr>
          </a:p>
        </xdr:txBody>
      </xdr:sp>
    </xdr:grpSp>
    <xdr:clientData/>
  </xdr:twoCellAnchor>
  <xdr:twoCellAnchor>
    <xdr:from>
      <xdr:col>22</xdr:col>
      <xdr:colOff>205488</xdr:colOff>
      <xdr:row>8</xdr:row>
      <xdr:rowOff>111595</xdr:rowOff>
    </xdr:from>
    <xdr:to>
      <xdr:col>24</xdr:col>
      <xdr:colOff>411676</xdr:colOff>
      <xdr:row>14</xdr:row>
      <xdr:rowOff>11173</xdr:rowOff>
    </xdr:to>
    <xdr:grpSp>
      <xdr:nvGrpSpPr>
        <xdr:cNvPr id="3" name="Group 2"/>
        <xdr:cNvGrpSpPr/>
      </xdr:nvGrpSpPr>
      <xdr:grpSpPr>
        <a:xfrm>
          <a:off x="13616688" y="1592052"/>
          <a:ext cx="1425388" cy="1009921"/>
          <a:chOff x="8041790" y="231541"/>
          <a:chExt cx="1425388" cy="998220"/>
        </a:xfrm>
      </xdr:grpSpPr>
      <xdr:sp macro="" textlink="'Pivot Table'!$M$3">
        <xdr:nvSpPr>
          <xdr:cNvPr id="23" name="Rounded Rectangle 22"/>
          <xdr:cNvSpPr/>
        </xdr:nvSpPr>
        <xdr:spPr>
          <a:xfrm>
            <a:off x="8041790" y="231541"/>
            <a:ext cx="1417320" cy="998220"/>
          </a:xfrm>
          <a:prstGeom prst="round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47C962B-F73E-4A45-9635-C567CFD6AAC9}" type="TxLink">
              <a:rPr lang="en-US" sz="2000" b="0" i="0" u="none" strike="noStrike">
                <a:solidFill>
                  <a:srgbClr val="000000"/>
                </a:solidFill>
                <a:latin typeface="Bahnschrift" panose="020B0502040204020203" pitchFamily="34" charset="0"/>
                <a:cs typeface="Calibri"/>
              </a:rPr>
              <a:pPr algn="ctr"/>
              <a:t> $2,514.4 </a:t>
            </a:fld>
            <a:endParaRPr lang="en-US" sz="2000">
              <a:solidFill>
                <a:schemeClr val="tx1"/>
              </a:solidFill>
              <a:latin typeface="Bahnschrift" panose="020B0502040204020203" pitchFamily="34" charset="0"/>
            </a:endParaRPr>
          </a:p>
        </xdr:txBody>
      </xdr:sp>
      <xdr:sp macro="" textlink="">
        <xdr:nvSpPr>
          <xdr:cNvPr id="26" name="TextBox 25"/>
          <xdr:cNvSpPr txBox="1"/>
        </xdr:nvSpPr>
        <xdr:spPr>
          <a:xfrm>
            <a:off x="8069580" y="784860"/>
            <a:ext cx="1397598" cy="36576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tx1">
                    <a:lumMod val="75000"/>
                    <a:lumOff val="25000"/>
                  </a:schemeClr>
                </a:solidFill>
                <a:latin typeface="Bahnschrift" panose="020B0502040204020203" pitchFamily="34" charset="0"/>
              </a:rPr>
              <a:t>AVG</a:t>
            </a:r>
            <a:r>
              <a:rPr lang="en-US" sz="900" baseline="0">
                <a:solidFill>
                  <a:schemeClr val="tx1">
                    <a:lumMod val="75000"/>
                    <a:lumOff val="25000"/>
                  </a:schemeClr>
                </a:solidFill>
                <a:latin typeface="Bahnschrift" panose="020B0502040204020203" pitchFamily="34" charset="0"/>
              </a:rPr>
              <a:t> COST OF TREATMENT</a:t>
            </a:r>
            <a:endParaRPr lang="en-US" sz="900">
              <a:solidFill>
                <a:schemeClr val="tx1">
                  <a:lumMod val="75000"/>
                  <a:lumOff val="25000"/>
                </a:schemeClr>
              </a:solidFill>
              <a:latin typeface="Bahnschrift" panose="020B0502040204020203" pitchFamily="34" charset="0"/>
            </a:endParaRPr>
          </a:p>
        </xdr:txBody>
      </xdr:sp>
    </xdr:grpSp>
    <xdr:clientData/>
  </xdr:twoCellAnchor>
  <xdr:twoCellAnchor>
    <xdr:from>
      <xdr:col>24</xdr:col>
      <xdr:colOff>567165</xdr:colOff>
      <xdr:row>8</xdr:row>
      <xdr:rowOff>118756</xdr:rowOff>
    </xdr:from>
    <xdr:to>
      <xdr:col>27</xdr:col>
      <xdr:colOff>155685</xdr:colOff>
      <xdr:row>14</xdr:row>
      <xdr:rowOff>17519</xdr:rowOff>
    </xdr:to>
    <xdr:grpSp>
      <xdr:nvGrpSpPr>
        <xdr:cNvPr id="10" name="Group 9"/>
        <xdr:cNvGrpSpPr/>
      </xdr:nvGrpSpPr>
      <xdr:grpSpPr>
        <a:xfrm>
          <a:off x="15197565" y="1599213"/>
          <a:ext cx="1417320" cy="1009106"/>
          <a:chOff x="9753600" y="179294"/>
          <a:chExt cx="1417320" cy="980291"/>
        </a:xfrm>
      </xdr:grpSpPr>
      <xdr:sp macro="" textlink="'Pivot Table'!$C$42">
        <xdr:nvSpPr>
          <xdr:cNvPr id="28" name="Rounded Rectangle 27"/>
          <xdr:cNvSpPr/>
        </xdr:nvSpPr>
        <xdr:spPr>
          <a:xfrm>
            <a:off x="9753600" y="179294"/>
            <a:ext cx="1417320" cy="980291"/>
          </a:xfrm>
          <a:prstGeom prst="round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9428AF8-9E57-4938-8026-DFEBB021B626}" type="TxLink">
              <a:rPr lang="en-US" sz="2000" b="0" i="0" u="none" strike="noStrike">
                <a:solidFill>
                  <a:srgbClr val="000000"/>
                </a:solidFill>
                <a:latin typeface="Bahnschrift" panose="020B0502040204020203" pitchFamily="34" charset="0"/>
                <a:cs typeface="Calibri"/>
              </a:rPr>
              <a:pPr algn="ctr"/>
              <a:t>32.60%</a:t>
            </a:fld>
            <a:endParaRPr lang="en-US" sz="2000">
              <a:solidFill>
                <a:schemeClr val="tx1"/>
              </a:solidFill>
              <a:latin typeface="Bahnschrift" panose="020B0502040204020203" pitchFamily="34" charset="0"/>
            </a:endParaRPr>
          </a:p>
        </xdr:txBody>
      </xdr:sp>
      <xdr:sp macro="" textlink="">
        <xdr:nvSpPr>
          <xdr:cNvPr id="30" name="TextBox 29"/>
          <xdr:cNvSpPr txBox="1"/>
        </xdr:nvSpPr>
        <xdr:spPr>
          <a:xfrm>
            <a:off x="9822180" y="755276"/>
            <a:ext cx="1303020" cy="35858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tx1">
                    <a:lumMod val="75000"/>
                    <a:lumOff val="25000"/>
                  </a:schemeClr>
                </a:solidFill>
                <a:latin typeface="Bahnschrift" panose="020B0502040204020203" pitchFamily="34" charset="0"/>
              </a:rPr>
              <a:t>MORTALITY</a:t>
            </a:r>
            <a:r>
              <a:rPr lang="en-US" sz="900" baseline="0">
                <a:solidFill>
                  <a:schemeClr val="tx1">
                    <a:lumMod val="75000"/>
                    <a:lumOff val="25000"/>
                  </a:schemeClr>
                </a:solidFill>
                <a:latin typeface="Bahnschrift" panose="020B0502040204020203" pitchFamily="34" charset="0"/>
              </a:rPr>
              <a:t> RATE</a:t>
            </a:r>
            <a:endParaRPr lang="en-US" sz="900">
              <a:solidFill>
                <a:schemeClr val="tx1">
                  <a:lumMod val="75000"/>
                  <a:lumOff val="25000"/>
                </a:schemeClr>
              </a:solidFill>
              <a:latin typeface="Bahnschrift" panose="020B0502040204020203" pitchFamily="34" charset="0"/>
            </a:endParaRPr>
          </a:p>
        </xdr:txBody>
      </xdr:sp>
    </xdr:grpSp>
    <xdr:clientData/>
  </xdr:twoCellAnchor>
  <xdr:twoCellAnchor>
    <xdr:from>
      <xdr:col>2</xdr:col>
      <xdr:colOff>203365</xdr:colOff>
      <xdr:row>16</xdr:row>
      <xdr:rowOff>64919</xdr:rowOff>
    </xdr:from>
    <xdr:to>
      <xdr:col>8</xdr:col>
      <xdr:colOff>555230</xdr:colOff>
      <xdr:row>30</xdr:row>
      <xdr:rowOff>49679</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44242</xdr:colOff>
      <xdr:row>16</xdr:row>
      <xdr:rowOff>42378</xdr:rowOff>
    </xdr:from>
    <xdr:to>
      <xdr:col>15</xdr:col>
      <xdr:colOff>546265</xdr:colOff>
      <xdr:row>30</xdr:row>
      <xdr:rowOff>51343</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144484</xdr:colOff>
      <xdr:row>31</xdr:row>
      <xdr:rowOff>933</xdr:rowOff>
    </xdr:from>
    <xdr:to>
      <xdr:col>8</xdr:col>
      <xdr:colOff>594756</xdr:colOff>
      <xdr:row>45</xdr:row>
      <xdr:rowOff>107869</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81148</xdr:colOff>
      <xdr:row>31</xdr:row>
      <xdr:rowOff>1982</xdr:rowOff>
    </xdr:from>
    <xdr:to>
      <xdr:col>15</xdr:col>
      <xdr:colOff>571006</xdr:colOff>
      <xdr:row>45</xdr:row>
      <xdr:rowOff>154382</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74394</xdr:colOff>
      <xdr:row>16</xdr:row>
      <xdr:rowOff>21481</xdr:rowOff>
    </xdr:from>
    <xdr:to>
      <xdr:col>23</xdr:col>
      <xdr:colOff>101289</xdr:colOff>
      <xdr:row>30</xdr:row>
      <xdr:rowOff>48375</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87085</xdr:colOff>
      <xdr:row>31</xdr:row>
      <xdr:rowOff>15833</xdr:rowOff>
    </xdr:from>
    <xdr:to>
      <xdr:col>23</xdr:col>
      <xdr:colOff>157348</xdr:colOff>
      <xdr:row>45</xdr:row>
      <xdr:rowOff>163286</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273427</xdr:colOff>
      <xdr:row>31</xdr:row>
      <xdr:rowOff>10887</xdr:rowOff>
    </xdr:from>
    <xdr:to>
      <xdr:col>27</xdr:col>
      <xdr:colOff>272435</xdr:colOff>
      <xdr:row>45</xdr:row>
      <xdr:rowOff>139654</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236171</xdr:colOff>
      <xdr:row>16</xdr:row>
      <xdr:rowOff>10886</xdr:rowOff>
    </xdr:from>
    <xdr:to>
      <xdr:col>27</xdr:col>
      <xdr:colOff>241466</xdr:colOff>
      <xdr:row>30</xdr:row>
      <xdr:rowOff>52450</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357251</xdr:colOff>
      <xdr:row>16</xdr:row>
      <xdr:rowOff>10886</xdr:rowOff>
    </xdr:from>
    <xdr:to>
      <xdr:col>31</xdr:col>
      <xdr:colOff>296884</xdr:colOff>
      <xdr:row>30</xdr:row>
      <xdr:rowOff>24741</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366159</xdr:colOff>
      <xdr:row>31</xdr:row>
      <xdr:rowOff>10886</xdr:rowOff>
    </xdr:from>
    <xdr:to>
      <xdr:col>31</xdr:col>
      <xdr:colOff>283031</xdr:colOff>
      <xdr:row>45</xdr:row>
      <xdr:rowOff>149430</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500743</xdr:colOff>
      <xdr:row>8</xdr:row>
      <xdr:rowOff>76200</xdr:rowOff>
    </xdr:from>
    <xdr:to>
      <xdr:col>7</xdr:col>
      <xdr:colOff>32657</xdr:colOff>
      <xdr:row>15</xdr:row>
      <xdr:rowOff>54428</xdr:rowOff>
    </xdr:to>
    <xdr:grpSp>
      <xdr:nvGrpSpPr>
        <xdr:cNvPr id="24" name="Group 23"/>
        <xdr:cNvGrpSpPr/>
      </xdr:nvGrpSpPr>
      <xdr:grpSpPr>
        <a:xfrm>
          <a:off x="1719943" y="1556657"/>
          <a:ext cx="2579914" cy="1273628"/>
          <a:chOff x="827314" y="965859"/>
          <a:chExt cx="2579914" cy="1238992"/>
        </a:xfrm>
      </xdr:grpSpPr>
      <xdr:sp macro="" textlink="">
        <xdr:nvSpPr>
          <xdr:cNvPr id="17" name="Rounded Rectangle 16"/>
          <xdr:cNvSpPr/>
        </xdr:nvSpPr>
        <xdr:spPr>
          <a:xfrm>
            <a:off x="827314" y="965859"/>
            <a:ext cx="2579914" cy="1238992"/>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lt1"/>
              </a:solidFill>
            </a:endParaRPr>
          </a:p>
        </xdr:txBody>
      </xdr:sp>
      <mc:AlternateContent xmlns:mc="http://schemas.openxmlformats.org/markup-compatibility/2006" xmlns:a14="http://schemas.microsoft.com/office/drawing/2010/main">
        <mc:Choice Requires="a14">
          <xdr:graphicFrame macro="">
            <xdr:nvGraphicFramePr>
              <xdr:cNvPr id="52" name="Diagnosis 1"/>
              <xdr:cNvGraphicFramePr>
                <a:graphicFrameLocks/>
              </xdr:cNvGraphicFramePr>
            </xdr:nvGraphicFramePr>
            <xdr:xfrm>
              <a:off x="903514" y="1048987"/>
              <a:ext cx="2449285" cy="1098467"/>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1796143" y="1642109"/>
                <a:ext cx="2449285" cy="112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16</xdr:col>
      <xdr:colOff>67293</xdr:colOff>
      <xdr:row>9</xdr:row>
      <xdr:rowOff>165265</xdr:rowOff>
    </xdr:from>
    <xdr:to>
      <xdr:col>18</xdr:col>
      <xdr:colOff>352300</xdr:colOff>
      <xdr:row>13</xdr:row>
      <xdr:rowOff>135575</xdr:rowOff>
    </xdr:to>
    <mc:AlternateContent xmlns:mc="http://schemas.openxmlformats.org/markup-compatibility/2006" xmlns:a14="http://schemas.microsoft.com/office/drawing/2010/main">
      <mc:Choice Requires="a14">
        <xdr:graphicFrame macro="">
          <xdr:nvGraphicFramePr>
            <xdr:cNvPr id="5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820893" y="1830779"/>
              <a:ext cx="1504207" cy="710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255320</xdr:colOff>
      <xdr:row>8</xdr:row>
      <xdr:rowOff>80159</xdr:rowOff>
    </xdr:from>
    <xdr:to>
      <xdr:col>31</xdr:col>
      <xdr:colOff>76200</xdr:colOff>
      <xdr:row>14</xdr:row>
      <xdr:rowOff>163286</xdr:rowOff>
    </xdr:to>
    <xdr:grpSp>
      <xdr:nvGrpSpPr>
        <xdr:cNvPr id="20" name="Group 19"/>
        <xdr:cNvGrpSpPr/>
      </xdr:nvGrpSpPr>
      <xdr:grpSpPr>
        <a:xfrm>
          <a:off x="16714520" y="1560616"/>
          <a:ext cx="2259280" cy="1193470"/>
          <a:chOff x="15821891" y="969818"/>
          <a:chExt cx="2259280" cy="1163076"/>
        </a:xfrm>
      </xdr:grpSpPr>
      <xdr:sp macro="" textlink="">
        <xdr:nvSpPr>
          <xdr:cNvPr id="18" name="Rounded Rectangle 17"/>
          <xdr:cNvSpPr/>
        </xdr:nvSpPr>
        <xdr:spPr>
          <a:xfrm>
            <a:off x="15821891" y="969818"/>
            <a:ext cx="2259280" cy="116307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5" name="Age group 1"/>
              <xdr:cNvGraphicFramePr/>
            </xdr:nvGraphicFramePr>
            <xdr:xfrm>
              <a:off x="15919863" y="1055716"/>
              <a:ext cx="2103120" cy="994756"/>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6812492" y="1648759"/>
                <a:ext cx="2103120" cy="1020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47502</xdr:colOff>
      <xdr:row>4</xdr:row>
      <xdr:rowOff>121721</xdr:rowOff>
    </xdr:from>
    <xdr:to>
      <xdr:col>25</xdr:col>
      <xdr:colOff>241465</xdr:colOff>
      <xdr:row>7</xdr:row>
      <xdr:rowOff>177141</xdr:rowOff>
    </xdr:to>
    <xdr:sp macro="" textlink="">
      <xdr:nvSpPr>
        <xdr:cNvPr id="4" name="TextBox 3"/>
        <xdr:cNvSpPr txBox="1"/>
      </xdr:nvSpPr>
      <xdr:spPr>
        <a:xfrm>
          <a:off x="4924302" y="861950"/>
          <a:ext cx="10557163" cy="61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latin typeface="Bahnschrift" panose="020B0502040204020203" pitchFamily="34" charset="0"/>
            </a:rPr>
            <a:t>PATIENT ANALYTICS OVERVIEW</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0.15562</cdr:x>
      <cdr:y>0.025</cdr:y>
    </cdr:from>
    <cdr:to>
      <cdr:x>0.84252</cdr:x>
      <cdr:y>0.17344</cdr:y>
    </cdr:to>
    <cdr:sp macro="" textlink="">
      <cdr:nvSpPr>
        <cdr:cNvPr id="2" name="TextBox 1"/>
        <cdr:cNvSpPr txBox="1"/>
      </cdr:nvSpPr>
      <cdr:spPr>
        <a:xfrm xmlns:a="http://schemas.openxmlformats.org/drawingml/2006/main">
          <a:off x="623950" y="64387"/>
          <a:ext cx="2754085" cy="3823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100">
              <a:latin typeface="Bahnschrift" panose="020B0502040204020203" pitchFamily="34" charset="0"/>
            </a:rPr>
            <a:t>PATIENT</a:t>
          </a:r>
          <a:r>
            <a:rPr lang="en-US" sz="1100" baseline="0">
              <a:latin typeface="Bahnschrift" panose="020B0502040204020203" pitchFamily="34" charset="0"/>
            </a:rPr>
            <a:t> DISTRIBUTION BY AGE GROUP</a:t>
          </a:r>
          <a:endParaRPr lang="en-US" sz="1100">
            <a:latin typeface="Bahnschrift" panose="020B0502040204020203" pitchFamily="34" charset="0"/>
          </a:endParaRPr>
        </a:p>
      </cdr:txBody>
    </cdr:sp>
  </cdr:relSizeAnchor>
  <cdr:relSizeAnchor xmlns:cdr="http://schemas.openxmlformats.org/drawingml/2006/chartDrawing">
    <cdr:from>
      <cdr:x>0.23689</cdr:x>
      <cdr:y>0.88922</cdr:y>
    </cdr:from>
    <cdr:to>
      <cdr:x>0.68697</cdr:x>
      <cdr:y>0.98204</cdr:y>
    </cdr:to>
    <cdr:sp macro="" textlink="">
      <cdr:nvSpPr>
        <cdr:cNvPr id="3" name="TextBox 2"/>
        <cdr:cNvSpPr txBox="1"/>
      </cdr:nvSpPr>
      <cdr:spPr>
        <a:xfrm xmlns:a="http://schemas.openxmlformats.org/drawingml/2006/main">
          <a:off x="1066800" y="2263140"/>
          <a:ext cx="202692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100"/>
            <a:t>Age Group</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emi" refreshedDate="46097.701045138892" createdVersion="5" refreshedVersion="5" minRefreshableVersion="3" recordCount="500">
  <cacheSource type="worksheet">
    <worksheetSource name="Table1"/>
  </cacheSource>
  <cacheFields count="19">
    <cacheField name="Patient_ID" numFmtId="0">
      <sharedItems/>
    </cacheField>
    <cacheField name="Age" numFmtId="0">
      <sharedItems containsSemiMixedTypes="0" containsString="0" containsNumber="1" containsInteger="1" minValue="18" maxValue="90"/>
    </cacheField>
    <cacheField name="Gender" numFmtId="0">
      <sharedItems count="2">
        <s v="Female"/>
        <s v="Male"/>
      </sharedItems>
    </cacheField>
    <cacheField name="BMI" numFmtId="0">
      <sharedItems containsSemiMixedTypes="0" containsString="0" containsNumber="1" minValue="18" maxValue="40"/>
    </cacheField>
    <cacheField name="Systolic" numFmtId="0">
      <sharedItems containsSemiMixedTypes="0" containsString="0" containsNumber="1" containsInteger="1" minValue="90" maxValue="180"/>
    </cacheField>
    <cacheField name="Diastolic" numFmtId="0">
      <sharedItems containsSemiMixedTypes="0" containsString="0" containsNumber="1" containsInteger="1" minValue="60" maxValue="120"/>
    </cacheField>
    <cacheField name="Smoker" numFmtId="0">
      <sharedItems count="2">
        <s v="No"/>
        <s v="Yes"/>
      </sharedItems>
    </cacheField>
    <cacheField name="Diabetic" numFmtId="0">
      <sharedItems count="2">
        <s v="Yes"/>
        <s v="No"/>
      </sharedItems>
    </cacheField>
    <cacheField name="Diagnosis" numFmtId="0">
      <sharedItems count="5">
        <s v="Diabetes"/>
        <s v="Hypertension"/>
        <s v="Flu"/>
        <s v="Heart Disease"/>
        <s v="Pneumonia"/>
      </sharedItems>
    </cacheField>
    <cacheField name="Treatment_Cost" numFmtId="44">
      <sharedItems containsSemiMixedTypes="0" containsString="0" containsNumber="1" minValue="106.04" maxValue="4994.04"/>
    </cacheField>
    <cacheField name="Admission_Date" numFmtId="164">
      <sharedItems containsSemiMixedTypes="0" containsNonDate="0" containsDate="1" containsString="0" minDate="2024-10-04T00:00:00" maxDate="2025-10-05T00:00:00" count="267">
        <d v="2025-01-20T00:00:00"/>
        <d v="2025-07-01T00:00:00"/>
        <d v="2025-06-28T00:00:00"/>
        <d v="2025-02-10T00:00:00"/>
        <d v="2025-04-18T00:00:00"/>
        <d v="2025-02-21T00:00:00"/>
        <d v="2024-10-26T00:00:00"/>
        <d v="2025-07-12T00:00:00"/>
        <d v="2024-12-18T00:00:00"/>
        <d v="2024-10-05T00:00:00"/>
        <d v="2025-02-27T00:00:00"/>
        <d v="2025-06-30T00:00:00"/>
        <d v="2025-02-02T00:00:00"/>
        <d v="2025-09-25T00:00:00"/>
        <d v="2024-11-04T00:00:00"/>
        <d v="2025-05-02T00:00:00"/>
        <d v="2024-11-17T00:00:00"/>
        <d v="2024-10-15T00:00:00"/>
        <d v="2025-04-28T00:00:00"/>
        <d v="2025-09-30T00:00:00"/>
        <d v="2024-10-31T00:00:00"/>
        <d v="2025-08-16T00:00:00"/>
        <d v="2025-08-30T00:00:00"/>
        <d v="2025-01-15T00:00:00"/>
        <d v="2024-12-12T00:00:00"/>
        <d v="2025-03-29T00:00:00"/>
        <d v="2025-01-21T00:00:00"/>
        <d v="2025-01-06T00:00:00"/>
        <d v="2025-05-19T00:00:00"/>
        <d v="2025-09-24T00:00:00"/>
        <d v="2025-06-10T00:00:00"/>
        <d v="2025-09-22T00:00:00"/>
        <d v="2025-08-27T00:00:00"/>
        <d v="2025-03-09T00:00:00"/>
        <d v="2025-08-29T00:00:00"/>
        <d v="2025-05-15T00:00:00"/>
        <d v="2025-06-29T00:00:00"/>
        <d v="2025-07-27T00:00:00"/>
        <d v="2025-03-10T00:00:00"/>
        <d v="2025-06-22T00:00:00"/>
        <d v="2025-01-02T00:00:00"/>
        <d v="2024-10-18T00:00:00"/>
        <d v="2024-12-15T00:00:00"/>
        <d v="2025-04-22T00:00:00"/>
        <d v="2025-08-31T00:00:00"/>
        <d v="2025-07-31T00:00:00"/>
        <d v="2024-12-21T00:00:00"/>
        <d v="2024-12-24T00:00:00"/>
        <d v="2025-03-15T00:00:00"/>
        <d v="2025-08-03T00:00:00"/>
        <d v="2024-11-06T00:00:00"/>
        <d v="2025-01-09T00:00:00"/>
        <d v="2025-05-24T00:00:00"/>
        <d v="2025-07-07T00:00:00"/>
        <d v="2025-08-23T00:00:00"/>
        <d v="2025-02-13T00:00:00"/>
        <d v="2024-11-14T00:00:00"/>
        <d v="2024-10-12T00:00:00"/>
        <d v="2025-08-20T00:00:00"/>
        <d v="2024-10-22T00:00:00"/>
        <d v="2024-11-28T00:00:00"/>
        <d v="2025-09-21T00:00:00"/>
        <d v="2024-12-08T00:00:00"/>
        <d v="2025-08-17T00:00:00"/>
        <d v="2025-10-04T00:00:00"/>
        <d v="2025-06-16T00:00:00"/>
        <d v="2025-03-06T00:00:00"/>
        <d v="2025-07-14T00:00:00"/>
        <d v="2025-04-09T00:00:00"/>
        <d v="2025-06-11T00:00:00"/>
        <d v="2025-06-09T00:00:00"/>
        <d v="2025-04-11T00:00:00"/>
        <d v="2025-05-30T00:00:00"/>
        <d v="2024-10-06T00:00:00"/>
        <d v="2025-10-01T00:00:00"/>
        <d v="2024-11-13T00:00:00"/>
        <d v="2025-03-02T00:00:00"/>
        <d v="2025-05-21T00:00:00"/>
        <d v="2025-01-30T00:00:00"/>
        <d v="2025-03-22T00:00:00"/>
        <d v="2025-09-16T00:00:00"/>
        <d v="2025-01-13T00:00:00"/>
        <d v="2025-07-04T00:00:00"/>
        <d v="2025-03-31T00:00:00"/>
        <d v="2025-05-13T00:00:00"/>
        <d v="2025-03-19T00:00:00"/>
        <d v="2025-07-02T00:00:00"/>
        <d v="2025-01-08T00:00:00"/>
        <d v="2025-08-02T00:00:00"/>
        <d v="2024-12-19T00:00:00"/>
        <d v="2024-12-23T00:00:00"/>
        <d v="2025-03-30T00:00:00"/>
        <d v="2025-05-12T00:00:00"/>
        <d v="2025-03-25T00:00:00"/>
        <d v="2024-12-29T00:00:00"/>
        <d v="2025-05-28T00:00:00"/>
        <d v="2025-04-21T00:00:00"/>
        <d v="2024-10-07T00:00:00"/>
        <d v="2025-09-01T00:00:00"/>
        <d v="2025-08-28T00:00:00"/>
        <d v="2025-04-23T00:00:00"/>
        <d v="2025-06-12T00:00:00"/>
        <d v="2025-01-27T00:00:00"/>
        <d v="2025-04-01T00:00:00"/>
        <d v="2024-11-19T00:00:00"/>
        <d v="2024-10-23T00:00:00"/>
        <d v="2025-07-30T00:00:00"/>
        <d v="2025-07-17T00:00:00"/>
        <d v="2025-09-03T00:00:00"/>
        <d v="2024-12-17T00:00:00"/>
        <d v="2025-08-26T00:00:00"/>
        <d v="2025-06-07T00:00:00"/>
        <d v="2025-08-07T00:00:00"/>
        <d v="2025-02-01T00:00:00"/>
        <d v="2025-07-23T00:00:00"/>
        <d v="2025-03-08T00:00:00"/>
        <d v="2025-03-23T00:00:00"/>
        <d v="2025-07-16T00:00:00"/>
        <d v="2025-06-05T00:00:00"/>
        <d v="2025-09-04T00:00:00"/>
        <d v="2024-12-04T00:00:00"/>
        <d v="2025-07-08T00:00:00"/>
        <d v="2025-08-19T00:00:00"/>
        <d v="2025-10-02T00:00:00"/>
        <d v="2024-11-25T00:00:00"/>
        <d v="2025-01-11T00:00:00"/>
        <d v="2025-02-20T00:00:00"/>
        <d v="2025-09-28T00:00:00"/>
        <d v="2025-09-05T00:00:00"/>
        <d v="2024-12-09T00:00:00"/>
        <d v="2025-02-23T00:00:00"/>
        <d v="2025-03-24T00:00:00"/>
        <d v="2025-06-17T00:00:00"/>
        <d v="2025-05-23T00:00:00"/>
        <d v="2025-04-03T00:00:00"/>
        <d v="2024-11-01T00:00:00"/>
        <d v="2025-08-10T00:00:00"/>
        <d v="2025-09-06T00:00:00"/>
        <d v="2024-12-30T00:00:00"/>
        <d v="2025-04-08T00:00:00"/>
        <d v="2025-07-21T00:00:00"/>
        <d v="2025-04-26T00:00:00"/>
        <d v="2025-04-06T00:00:00"/>
        <d v="2025-08-14T00:00:00"/>
        <d v="2025-05-10T00:00:00"/>
        <d v="2025-09-27T00:00:00"/>
        <d v="2025-08-11T00:00:00"/>
        <d v="2024-12-26T00:00:00"/>
        <d v="2025-03-05T00:00:00"/>
        <d v="2025-06-19T00:00:00"/>
        <d v="2025-01-29T00:00:00"/>
        <d v="2025-05-01T00:00:00"/>
        <d v="2025-06-24T00:00:00"/>
        <d v="2025-01-19T00:00:00"/>
        <d v="2025-07-05T00:00:00"/>
        <d v="2025-06-15T00:00:00"/>
        <d v="2024-12-25T00:00:00"/>
        <d v="2025-08-09T00:00:00"/>
        <d v="2025-07-03T00:00:00"/>
        <d v="2025-08-06T00:00:00"/>
        <d v="2025-01-23T00:00:00"/>
        <d v="2024-11-26T00:00:00"/>
        <d v="2025-08-13T00:00:00"/>
        <d v="2024-12-28T00:00:00"/>
        <d v="2024-12-16T00:00:00"/>
        <d v="2025-02-24T00:00:00"/>
        <d v="2024-11-30T00:00:00"/>
        <d v="2025-04-10T00:00:00"/>
        <d v="2024-11-08T00:00:00"/>
        <d v="2025-02-15T00:00:00"/>
        <d v="2025-03-20T00:00:00"/>
        <d v="2025-03-14T00:00:00"/>
        <d v="2025-02-12T00:00:00"/>
        <d v="2025-05-20T00:00:00"/>
        <d v="2025-04-27T00:00:00"/>
        <d v="2024-10-25T00:00:00"/>
        <d v="2025-07-22T00:00:00"/>
        <d v="2025-05-22T00:00:00"/>
        <d v="2024-11-29T00:00:00"/>
        <d v="2024-11-16T00:00:00"/>
        <d v="2025-03-03T00:00:00"/>
        <d v="2025-09-17T00:00:00"/>
        <d v="2025-07-24T00:00:00"/>
        <d v="2025-04-16T00:00:00"/>
        <d v="2025-10-03T00:00:00"/>
        <d v="2025-01-24T00:00:00"/>
        <d v="2024-10-24T00:00:00"/>
        <d v="2024-12-07T00:00:00"/>
        <d v="2025-01-12T00:00:00"/>
        <d v="2025-02-06T00:00:00"/>
        <d v="2024-12-22T00:00:00"/>
        <d v="2025-08-08T00:00:00"/>
        <d v="2025-06-06T00:00:00"/>
        <d v="2025-01-25T00:00:00"/>
        <d v="2025-01-22T00:00:00"/>
        <d v="2024-12-05T00:00:00"/>
        <d v="2025-07-28T00:00:00"/>
        <d v="2025-07-25T00:00:00"/>
        <d v="2025-07-18T00:00:00"/>
        <d v="2024-10-20T00:00:00"/>
        <d v="2025-04-15T00:00:00"/>
        <d v="2024-10-04T00:00:00"/>
        <d v="2025-01-16T00:00:00"/>
        <d v="2025-02-09T00:00:00"/>
        <d v="2025-04-24T00:00:00"/>
        <d v="2024-10-28T00:00:00"/>
        <d v="2025-09-10T00:00:00"/>
        <d v="2025-05-18T00:00:00"/>
        <d v="2025-06-04T00:00:00"/>
        <d v="2025-04-02T00:00:00"/>
        <d v="2024-10-21T00:00:00"/>
        <d v="2025-05-05T00:00:00"/>
        <d v="2024-11-05T00:00:00"/>
        <d v="2025-02-03T00:00:00"/>
        <d v="2025-03-16T00:00:00"/>
        <d v="2025-03-27T00:00:00"/>
        <d v="2025-04-17T00:00:00"/>
        <d v="2024-11-02T00:00:00"/>
        <d v="2025-06-20T00:00:00"/>
        <d v="2025-09-12T00:00:00"/>
        <d v="2025-03-12T00:00:00"/>
        <d v="2025-04-14T00:00:00"/>
        <d v="2025-09-29T00:00:00"/>
        <d v="2025-05-09T00:00:00"/>
        <d v="2025-07-29T00:00:00"/>
        <d v="2025-01-04T00:00:00"/>
        <d v="2025-02-14T00:00:00"/>
        <d v="2025-04-25T00:00:00"/>
        <d v="2024-10-19T00:00:00"/>
        <d v="2025-07-19T00:00:00"/>
        <d v="2024-11-23T00:00:00"/>
        <d v="2024-12-01T00:00:00"/>
        <d v="2025-02-08T00:00:00"/>
        <d v="2025-06-27T00:00:00"/>
        <d v="2025-04-20T00:00:00"/>
        <d v="2025-01-31T00:00:00"/>
        <d v="2024-12-31T00:00:00"/>
        <d v="2025-07-20T00:00:00"/>
        <d v="2025-06-18T00:00:00"/>
        <d v="2024-12-06T00:00:00"/>
        <d v="2025-06-21T00:00:00"/>
        <d v="2024-10-16T00:00:00"/>
        <d v="2025-06-13T00:00:00"/>
        <d v="2024-11-18T00:00:00"/>
        <d v="2025-05-11T00:00:00"/>
        <d v="2025-01-26T00:00:00"/>
        <d v="2025-09-18T00:00:00"/>
        <d v="2024-12-14T00:00:00"/>
        <d v="2024-10-29T00:00:00"/>
        <d v="2025-02-22T00:00:00"/>
        <d v="2025-08-21T00:00:00"/>
        <d v="2025-03-13T00:00:00"/>
        <d v="2025-09-14T00:00:00"/>
        <d v="2024-10-14T00:00:00"/>
        <d v="2025-03-21T00:00:00"/>
        <d v="2025-09-08T00:00:00"/>
        <d v="2025-08-25T00:00:00"/>
        <d v="2025-08-01T00:00:00"/>
        <d v="2024-11-15T00:00:00"/>
        <d v="2025-01-17T00:00:00"/>
        <d v="2025-01-14T00:00:00"/>
        <d v="2024-11-10T00:00:00"/>
        <d v="2025-09-26T00:00:00"/>
        <d v="2025-05-03T00:00:00"/>
        <d v="2025-05-29T00:00:00"/>
        <d v="2025-01-03T00:00:00"/>
        <d v="2024-11-21T00:00:00"/>
      </sharedItems>
      <fieldGroup par="18" base="10">
        <rangePr groupBy="months" startDate="2024-10-04T00:00:00" endDate="2025-10-05T00:00:00"/>
        <groupItems count="14">
          <s v="&lt;10/4/2024"/>
          <s v="Jan"/>
          <s v="Feb"/>
          <s v="Mar"/>
          <s v="Apr"/>
          <s v="May"/>
          <s v="Jun"/>
          <s v="Jul"/>
          <s v="Aug"/>
          <s v="Sep"/>
          <s v="Oct"/>
          <s v="Nov"/>
          <s v="Dec"/>
          <s v="&gt;10/5/2025"/>
        </groupItems>
      </fieldGroup>
    </cacheField>
    <cacheField name="Discharge_Date" numFmtId="164">
      <sharedItems containsSemiMixedTypes="0" containsNonDate="0" containsDate="1" containsString="0" minDate="2024-10-06T00:00:00" maxDate="2025-10-17T00:00:00"/>
    </cacheField>
    <cacheField name="Outcome" numFmtId="0">
      <sharedItems count="3">
        <s v="Recovered"/>
        <s v="Referred"/>
        <s v="Deceases"/>
      </sharedItems>
    </cacheField>
    <cacheField name="Age group" numFmtId="0">
      <sharedItems count="5">
        <s v="&lt; 25"/>
        <s v="36-50"/>
        <s v="51-65"/>
        <s v="25-35"/>
        <s v="&gt;65"/>
      </sharedItems>
    </cacheField>
    <cacheField name="smoker and Diabetic" numFmtId="0">
      <sharedItems count="2">
        <s v="No"/>
        <s v="Yes"/>
      </sharedItems>
    </cacheField>
    <cacheField name="smoker or diabetic" numFmtId="0">
      <sharedItems count="2">
        <s v="Yes"/>
        <s v="No"/>
      </sharedItems>
    </cacheField>
    <cacheField name="Blood Pressure" numFmtId="0">
      <sharedItems count="2">
        <s v="Normal"/>
        <s v="High"/>
      </sharedItems>
    </cacheField>
    <cacheField name="Days on admission" numFmtId="0">
      <sharedItems containsSemiMixedTypes="0" containsString="0" containsNumber="1" containsInteger="1" minValue="1" maxValue="14" count="14">
        <n v="12"/>
        <n v="3"/>
        <n v="8"/>
        <n v="9"/>
        <n v="6"/>
        <n v="7"/>
        <n v="1"/>
        <n v="4"/>
        <n v="11"/>
        <n v="2"/>
        <n v="5"/>
        <n v="13"/>
        <n v="14"/>
        <n v="10"/>
      </sharedItems>
    </cacheField>
    <cacheField name="Years" numFmtId="0" databaseField="0">
      <fieldGroup base="10">
        <rangePr groupBy="years" startDate="2024-10-04T00:00:00" endDate="2025-10-05T00:00:00"/>
        <groupItems count="4">
          <s v="&lt;10/4/2024"/>
          <s v="2024"/>
          <s v="2025"/>
          <s v="&gt;10/5/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P001"/>
    <n v="20"/>
    <x v="0"/>
    <n v="24.7"/>
    <n v="104"/>
    <n v="72"/>
    <x v="0"/>
    <x v="0"/>
    <x v="0"/>
    <n v="3328.6"/>
    <x v="0"/>
    <d v="2025-02-01T00:00:00"/>
    <x v="0"/>
    <x v="0"/>
    <x v="0"/>
    <x v="0"/>
    <x v="0"/>
    <x v="0"/>
  </r>
  <r>
    <s v="P002"/>
    <n v="47"/>
    <x v="1"/>
    <n v="38.5"/>
    <n v="147"/>
    <n v="88"/>
    <x v="1"/>
    <x v="1"/>
    <x v="0"/>
    <n v="1041.69"/>
    <x v="1"/>
    <d v="2025-07-04T00:00:00"/>
    <x v="1"/>
    <x v="1"/>
    <x v="0"/>
    <x v="0"/>
    <x v="1"/>
    <x v="1"/>
  </r>
  <r>
    <s v="P003"/>
    <n v="21"/>
    <x v="1"/>
    <n v="18.5"/>
    <n v="145"/>
    <n v="65"/>
    <x v="0"/>
    <x v="0"/>
    <x v="1"/>
    <n v="909.11"/>
    <x v="2"/>
    <d v="2025-07-06T00:00:00"/>
    <x v="1"/>
    <x v="0"/>
    <x v="0"/>
    <x v="0"/>
    <x v="1"/>
    <x v="2"/>
  </r>
  <r>
    <s v="P004"/>
    <n v="57"/>
    <x v="1"/>
    <n v="24.1"/>
    <n v="166"/>
    <n v="66"/>
    <x v="1"/>
    <x v="0"/>
    <x v="1"/>
    <n v="1920.12"/>
    <x v="3"/>
    <d v="2025-02-18T00:00:00"/>
    <x v="2"/>
    <x v="2"/>
    <x v="1"/>
    <x v="0"/>
    <x v="1"/>
    <x v="2"/>
  </r>
  <r>
    <s v="P005"/>
    <n v="28"/>
    <x v="1"/>
    <n v="22.5"/>
    <n v="176"/>
    <n v="71"/>
    <x v="1"/>
    <x v="1"/>
    <x v="2"/>
    <n v="3224.12"/>
    <x v="4"/>
    <d v="2025-04-27T00:00:00"/>
    <x v="2"/>
    <x v="3"/>
    <x v="0"/>
    <x v="0"/>
    <x v="1"/>
    <x v="3"/>
  </r>
  <r>
    <s v="P006"/>
    <n v="31"/>
    <x v="0"/>
    <n v="37.5"/>
    <n v="149"/>
    <n v="82"/>
    <x v="0"/>
    <x v="0"/>
    <x v="1"/>
    <n v="3415.88"/>
    <x v="5"/>
    <d v="2025-02-27T00:00:00"/>
    <x v="0"/>
    <x v="3"/>
    <x v="0"/>
    <x v="0"/>
    <x v="1"/>
    <x v="4"/>
  </r>
  <r>
    <s v="P007"/>
    <n v="74"/>
    <x v="0"/>
    <n v="23.4"/>
    <n v="177"/>
    <n v="95"/>
    <x v="1"/>
    <x v="0"/>
    <x v="1"/>
    <n v="3744.37"/>
    <x v="6"/>
    <d v="2024-11-02T00:00:00"/>
    <x v="0"/>
    <x v="4"/>
    <x v="1"/>
    <x v="0"/>
    <x v="1"/>
    <x v="5"/>
  </r>
  <r>
    <s v="P008"/>
    <n v="62"/>
    <x v="1"/>
    <n v="31.5"/>
    <n v="93"/>
    <n v="60"/>
    <x v="1"/>
    <x v="1"/>
    <x v="1"/>
    <n v="3534.23"/>
    <x v="7"/>
    <d v="2025-07-13T00:00:00"/>
    <x v="1"/>
    <x v="2"/>
    <x v="0"/>
    <x v="0"/>
    <x v="0"/>
    <x v="6"/>
  </r>
  <r>
    <s v="P009"/>
    <n v="85"/>
    <x v="0"/>
    <n v="22.1"/>
    <n v="152"/>
    <n v="94"/>
    <x v="0"/>
    <x v="0"/>
    <x v="1"/>
    <n v="4110.78"/>
    <x v="8"/>
    <d v="2024-12-21T00:00:00"/>
    <x v="1"/>
    <x v="4"/>
    <x v="0"/>
    <x v="0"/>
    <x v="1"/>
    <x v="1"/>
  </r>
  <r>
    <s v="P010"/>
    <n v="64"/>
    <x v="1"/>
    <n v="30.8"/>
    <n v="110"/>
    <n v="63"/>
    <x v="0"/>
    <x v="1"/>
    <x v="1"/>
    <n v="2126.79"/>
    <x v="9"/>
    <d v="2024-10-06T00:00:00"/>
    <x v="1"/>
    <x v="2"/>
    <x v="0"/>
    <x v="1"/>
    <x v="0"/>
    <x v="6"/>
  </r>
  <r>
    <s v="P011"/>
    <n v="87"/>
    <x v="1"/>
    <n v="35.9"/>
    <n v="108"/>
    <n v="108"/>
    <x v="0"/>
    <x v="1"/>
    <x v="3"/>
    <n v="1179.1300000000001"/>
    <x v="10"/>
    <d v="2025-03-03T00:00:00"/>
    <x v="2"/>
    <x v="4"/>
    <x v="0"/>
    <x v="1"/>
    <x v="1"/>
    <x v="7"/>
  </r>
  <r>
    <s v="P012"/>
    <n v="44"/>
    <x v="1"/>
    <n v="26"/>
    <n v="149"/>
    <n v="118"/>
    <x v="0"/>
    <x v="0"/>
    <x v="4"/>
    <n v="2102.73"/>
    <x v="11"/>
    <d v="2025-07-01T00:00:00"/>
    <x v="1"/>
    <x v="1"/>
    <x v="0"/>
    <x v="0"/>
    <x v="1"/>
    <x v="6"/>
  </r>
  <r>
    <s v="P013"/>
    <n v="54"/>
    <x v="0"/>
    <n v="22.9"/>
    <n v="108"/>
    <n v="84"/>
    <x v="1"/>
    <x v="0"/>
    <x v="0"/>
    <n v="2548.13"/>
    <x v="12"/>
    <d v="2025-02-11T00:00:00"/>
    <x v="1"/>
    <x v="2"/>
    <x v="1"/>
    <x v="0"/>
    <x v="0"/>
    <x v="3"/>
  </r>
  <r>
    <s v="P014"/>
    <n v="66"/>
    <x v="0"/>
    <n v="36.4"/>
    <n v="149"/>
    <n v="69"/>
    <x v="0"/>
    <x v="0"/>
    <x v="4"/>
    <n v="4680.93"/>
    <x v="13"/>
    <d v="2025-10-07T00:00:00"/>
    <x v="0"/>
    <x v="4"/>
    <x v="0"/>
    <x v="0"/>
    <x v="1"/>
    <x v="0"/>
  </r>
  <r>
    <s v="P015"/>
    <n v="73"/>
    <x v="1"/>
    <n v="39.700000000000003"/>
    <n v="133"/>
    <n v="81"/>
    <x v="1"/>
    <x v="0"/>
    <x v="4"/>
    <n v="984.41"/>
    <x v="14"/>
    <d v="2024-11-15T00:00:00"/>
    <x v="0"/>
    <x v="4"/>
    <x v="1"/>
    <x v="0"/>
    <x v="1"/>
    <x v="8"/>
  </r>
  <r>
    <s v="P016"/>
    <n v="22"/>
    <x v="0"/>
    <n v="20.2"/>
    <n v="165"/>
    <n v="84"/>
    <x v="1"/>
    <x v="0"/>
    <x v="0"/>
    <n v="2882.2"/>
    <x v="15"/>
    <d v="2025-05-04T00:00:00"/>
    <x v="1"/>
    <x v="0"/>
    <x v="1"/>
    <x v="0"/>
    <x v="1"/>
    <x v="9"/>
  </r>
  <r>
    <s v="P017"/>
    <n v="53"/>
    <x v="0"/>
    <n v="27.5"/>
    <n v="138"/>
    <n v="119"/>
    <x v="1"/>
    <x v="0"/>
    <x v="1"/>
    <n v="3950.47"/>
    <x v="16"/>
    <d v="2024-11-18T00:00:00"/>
    <x v="2"/>
    <x v="2"/>
    <x v="1"/>
    <x v="0"/>
    <x v="1"/>
    <x v="6"/>
  </r>
  <r>
    <s v="P018"/>
    <n v="64"/>
    <x v="0"/>
    <n v="39.700000000000003"/>
    <n v="94"/>
    <n v="104"/>
    <x v="1"/>
    <x v="1"/>
    <x v="4"/>
    <n v="1448.48"/>
    <x v="17"/>
    <d v="2024-10-27T00:00:00"/>
    <x v="1"/>
    <x v="2"/>
    <x v="0"/>
    <x v="0"/>
    <x v="1"/>
    <x v="0"/>
  </r>
  <r>
    <s v="P019"/>
    <n v="66"/>
    <x v="1"/>
    <n v="31.4"/>
    <n v="148"/>
    <n v="110"/>
    <x v="0"/>
    <x v="1"/>
    <x v="4"/>
    <n v="3634.69"/>
    <x v="5"/>
    <d v="2025-03-01T00:00:00"/>
    <x v="0"/>
    <x v="4"/>
    <x v="0"/>
    <x v="1"/>
    <x v="1"/>
    <x v="2"/>
  </r>
  <r>
    <s v="P020"/>
    <n v="90"/>
    <x v="1"/>
    <n v="34.6"/>
    <n v="143"/>
    <n v="104"/>
    <x v="1"/>
    <x v="0"/>
    <x v="4"/>
    <n v="770.81"/>
    <x v="18"/>
    <d v="2025-05-07T00:00:00"/>
    <x v="0"/>
    <x v="4"/>
    <x v="1"/>
    <x v="0"/>
    <x v="1"/>
    <x v="3"/>
  </r>
  <r>
    <s v="P021"/>
    <n v="50"/>
    <x v="1"/>
    <n v="31.9"/>
    <n v="157"/>
    <n v="92"/>
    <x v="1"/>
    <x v="0"/>
    <x v="0"/>
    <n v="3993.56"/>
    <x v="19"/>
    <d v="2025-10-09T00:00:00"/>
    <x v="0"/>
    <x v="1"/>
    <x v="1"/>
    <x v="0"/>
    <x v="1"/>
    <x v="3"/>
  </r>
  <r>
    <s v="P022"/>
    <n v="62"/>
    <x v="0"/>
    <n v="39.200000000000003"/>
    <n v="96"/>
    <n v="78"/>
    <x v="1"/>
    <x v="1"/>
    <x v="1"/>
    <n v="4649.88"/>
    <x v="20"/>
    <d v="2024-11-05T00:00:00"/>
    <x v="1"/>
    <x v="2"/>
    <x v="0"/>
    <x v="0"/>
    <x v="0"/>
    <x v="10"/>
  </r>
  <r>
    <s v="P023"/>
    <n v="25"/>
    <x v="1"/>
    <n v="31.6"/>
    <n v="136"/>
    <n v="62"/>
    <x v="1"/>
    <x v="0"/>
    <x v="3"/>
    <n v="3965.18"/>
    <x v="21"/>
    <d v="2025-08-23T00:00:00"/>
    <x v="2"/>
    <x v="3"/>
    <x v="1"/>
    <x v="0"/>
    <x v="1"/>
    <x v="5"/>
  </r>
  <r>
    <s v="P024"/>
    <n v="79"/>
    <x v="1"/>
    <n v="31.3"/>
    <n v="143"/>
    <n v="91"/>
    <x v="0"/>
    <x v="1"/>
    <x v="4"/>
    <n v="3440.19"/>
    <x v="22"/>
    <d v="2025-09-02T00:00:00"/>
    <x v="0"/>
    <x v="4"/>
    <x v="0"/>
    <x v="1"/>
    <x v="1"/>
    <x v="1"/>
  </r>
  <r>
    <s v="P025"/>
    <n v="77"/>
    <x v="1"/>
    <n v="37.700000000000003"/>
    <n v="117"/>
    <n v="117"/>
    <x v="1"/>
    <x v="1"/>
    <x v="2"/>
    <n v="2472.0100000000002"/>
    <x v="23"/>
    <d v="2025-01-17T00:00:00"/>
    <x v="1"/>
    <x v="4"/>
    <x v="0"/>
    <x v="0"/>
    <x v="1"/>
    <x v="9"/>
  </r>
  <r>
    <s v="P026"/>
    <n v="62"/>
    <x v="1"/>
    <n v="21.6"/>
    <n v="158"/>
    <n v="66"/>
    <x v="1"/>
    <x v="0"/>
    <x v="2"/>
    <n v="3966.83"/>
    <x v="15"/>
    <d v="2025-05-10T00:00:00"/>
    <x v="0"/>
    <x v="2"/>
    <x v="1"/>
    <x v="0"/>
    <x v="1"/>
    <x v="2"/>
  </r>
  <r>
    <s v="P027"/>
    <n v="87"/>
    <x v="1"/>
    <n v="38.1"/>
    <n v="94"/>
    <n v="66"/>
    <x v="1"/>
    <x v="0"/>
    <x v="4"/>
    <n v="2821.51"/>
    <x v="24"/>
    <d v="2024-12-18T00:00:00"/>
    <x v="2"/>
    <x v="4"/>
    <x v="1"/>
    <x v="0"/>
    <x v="0"/>
    <x v="4"/>
  </r>
  <r>
    <s v="P028"/>
    <n v="74"/>
    <x v="0"/>
    <n v="34.5"/>
    <n v="122"/>
    <n v="69"/>
    <x v="0"/>
    <x v="0"/>
    <x v="1"/>
    <n v="2015.89"/>
    <x v="25"/>
    <d v="2025-04-02T00:00:00"/>
    <x v="0"/>
    <x v="4"/>
    <x v="0"/>
    <x v="0"/>
    <x v="0"/>
    <x v="7"/>
  </r>
  <r>
    <s v="P029"/>
    <n v="52"/>
    <x v="1"/>
    <n v="24.8"/>
    <n v="134"/>
    <n v="78"/>
    <x v="1"/>
    <x v="0"/>
    <x v="0"/>
    <n v="3353.69"/>
    <x v="26"/>
    <d v="2025-01-25T00:00:00"/>
    <x v="0"/>
    <x v="2"/>
    <x v="1"/>
    <x v="0"/>
    <x v="1"/>
    <x v="7"/>
  </r>
  <r>
    <s v="P030"/>
    <n v="81"/>
    <x v="1"/>
    <n v="25.1"/>
    <n v="135"/>
    <n v="87"/>
    <x v="0"/>
    <x v="0"/>
    <x v="0"/>
    <n v="1705.56"/>
    <x v="27"/>
    <d v="2025-01-08T00:00:00"/>
    <x v="1"/>
    <x v="4"/>
    <x v="0"/>
    <x v="0"/>
    <x v="1"/>
    <x v="9"/>
  </r>
  <r>
    <s v="P031"/>
    <n v="34"/>
    <x v="0"/>
    <n v="18.7"/>
    <n v="139"/>
    <n v="68"/>
    <x v="1"/>
    <x v="0"/>
    <x v="4"/>
    <n v="176.9"/>
    <x v="28"/>
    <d v="2025-05-23T00:00:00"/>
    <x v="1"/>
    <x v="3"/>
    <x v="1"/>
    <x v="0"/>
    <x v="1"/>
    <x v="7"/>
  </r>
  <r>
    <s v="P032"/>
    <n v="28"/>
    <x v="0"/>
    <n v="39.4"/>
    <n v="160"/>
    <n v="80"/>
    <x v="0"/>
    <x v="1"/>
    <x v="4"/>
    <n v="463.77"/>
    <x v="29"/>
    <d v="2025-09-26T00:00:00"/>
    <x v="2"/>
    <x v="3"/>
    <x v="0"/>
    <x v="1"/>
    <x v="1"/>
    <x v="9"/>
  </r>
  <r>
    <s v="P033"/>
    <n v="30"/>
    <x v="1"/>
    <n v="26.5"/>
    <n v="143"/>
    <n v="69"/>
    <x v="1"/>
    <x v="0"/>
    <x v="3"/>
    <n v="1411.7"/>
    <x v="30"/>
    <d v="2025-06-15T00:00:00"/>
    <x v="2"/>
    <x v="3"/>
    <x v="1"/>
    <x v="0"/>
    <x v="1"/>
    <x v="10"/>
  </r>
  <r>
    <s v="P034"/>
    <n v="86"/>
    <x v="1"/>
    <n v="33.700000000000003"/>
    <n v="107"/>
    <n v="110"/>
    <x v="1"/>
    <x v="0"/>
    <x v="0"/>
    <n v="1758.02"/>
    <x v="31"/>
    <d v="2025-10-05T00:00:00"/>
    <x v="1"/>
    <x v="4"/>
    <x v="1"/>
    <x v="0"/>
    <x v="1"/>
    <x v="11"/>
  </r>
  <r>
    <s v="P035"/>
    <n v="21"/>
    <x v="0"/>
    <n v="32.5"/>
    <n v="107"/>
    <n v="98"/>
    <x v="1"/>
    <x v="1"/>
    <x v="0"/>
    <n v="1431.16"/>
    <x v="32"/>
    <d v="2025-08-31T00:00:00"/>
    <x v="1"/>
    <x v="0"/>
    <x v="0"/>
    <x v="0"/>
    <x v="1"/>
    <x v="7"/>
  </r>
  <r>
    <s v="P036"/>
    <n v="34"/>
    <x v="1"/>
    <n v="38.6"/>
    <n v="138"/>
    <n v="114"/>
    <x v="1"/>
    <x v="0"/>
    <x v="2"/>
    <n v="4728.91"/>
    <x v="33"/>
    <d v="2025-03-15T00:00:00"/>
    <x v="0"/>
    <x v="3"/>
    <x v="1"/>
    <x v="0"/>
    <x v="1"/>
    <x v="4"/>
  </r>
  <r>
    <s v="P037"/>
    <n v="58"/>
    <x v="1"/>
    <n v="18"/>
    <n v="118"/>
    <n v="106"/>
    <x v="1"/>
    <x v="0"/>
    <x v="0"/>
    <n v="3251.3"/>
    <x v="34"/>
    <d v="2025-08-30T00:00:00"/>
    <x v="0"/>
    <x v="2"/>
    <x v="1"/>
    <x v="0"/>
    <x v="1"/>
    <x v="6"/>
  </r>
  <r>
    <s v="P038"/>
    <n v="39"/>
    <x v="1"/>
    <n v="36.5"/>
    <n v="140"/>
    <n v="108"/>
    <x v="1"/>
    <x v="0"/>
    <x v="0"/>
    <n v="1359.98"/>
    <x v="35"/>
    <d v="2025-05-29T00:00:00"/>
    <x v="2"/>
    <x v="1"/>
    <x v="1"/>
    <x v="0"/>
    <x v="1"/>
    <x v="12"/>
  </r>
  <r>
    <s v="P039"/>
    <n v="20"/>
    <x v="0"/>
    <n v="30.8"/>
    <n v="156"/>
    <n v="81"/>
    <x v="0"/>
    <x v="1"/>
    <x v="1"/>
    <n v="338.6"/>
    <x v="36"/>
    <d v="2025-07-01T00:00:00"/>
    <x v="2"/>
    <x v="0"/>
    <x v="0"/>
    <x v="1"/>
    <x v="1"/>
    <x v="9"/>
  </r>
  <r>
    <s v="P040"/>
    <n v="59"/>
    <x v="0"/>
    <n v="31.6"/>
    <n v="133"/>
    <n v="108"/>
    <x v="1"/>
    <x v="1"/>
    <x v="1"/>
    <n v="1243.6099999999999"/>
    <x v="37"/>
    <d v="2025-08-02T00:00:00"/>
    <x v="1"/>
    <x v="2"/>
    <x v="0"/>
    <x v="0"/>
    <x v="1"/>
    <x v="4"/>
  </r>
  <r>
    <s v="P041"/>
    <n v="34"/>
    <x v="0"/>
    <n v="26.5"/>
    <n v="109"/>
    <n v="104"/>
    <x v="1"/>
    <x v="0"/>
    <x v="2"/>
    <n v="2529.89"/>
    <x v="11"/>
    <d v="2025-07-08T00:00:00"/>
    <x v="1"/>
    <x v="3"/>
    <x v="1"/>
    <x v="0"/>
    <x v="1"/>
    <x v="2"/>
  </r>
  <r>
    <s v="P042"/>
    <n v="83"/>
    <x v="0"/>
    <n v="39.299999999999997"/>
    <n v="139"/>
    <n v="78"/>
    <x v="0"/>
    <x v="1"/>
    <x v="0"/>
    <n v="3323.57"/>
    <x v="7"/>
    <d v="2025-07-24T00:00:00"/>
    <x v="0"/>
    <x v="4"/>
    <x v="0"/>
    <x v="1"/>
    <x v="1"/>
    <x v="0"/>
  </r>
  <r>
    <s v="P043"/>
    <n v="88"/>
    <x v="1"/>
    <n v="31.1"/>
    <n v="141"/>
    <n v="62"/>
    <x v="1"/>
    <x v="0"/>
    <x v="2"/>
    <n v="2396.69"/>
    <x v="38"/>
    <d v="2025-03-24T00:00:00"/>
    <x v="2"/>
    <x v="4"/>
    <x v="1"/>
    <x v="0"/>
    <x v="1"/>
    <x v="12"/>
  </r>
  <r>
    <s v="P044"/>
    <n v="78"/>
    <x v="1"/>
    <n v="39.799999999999997"/>
    <n v="141"/>
    <n v="82"/>
    <x v="1"/>
    <x v="1"/>
    <x v="0"/>
    <n v="1538.89"/>
    <x v="39"/>
    <d v="2025-06-28T00:00:00"/>
    <x v="0"/>
    <x v="4"/>
    <x v="0"/>
    <x v="0"/>
    <x v="1"/>
    <x v="4"/>
  </r>
  <r>
    <s v="P045"/>
    <n v="62"/>
    <x v="1"/>
    <n v="22.3"/>
    <n v="156"/>
    <n v="107"/>
    <x v="1"/>
    <x v="1"/>
    <x v="1"/>
    <n v="925.82"/>
    <x v="40"/>
    <d v="2025-01-12T00:00:00"/>
    <x v="2"/>
    <x v="2"/>
    <x v="0"/>
    <x v="0"/>
    <x v="1"/>
    <x v="13"/>
  </r>
  <r>
    <s v="P046"/>
    <n v="88"/>
    <x v="1"/>
    <n v="22"/>
    <n v="168"/>
    <n v="98"/>
    <x v="0"/>
    <x v="1"/>
    <x v="4"/>
    <n v="3853.36"/>
    <x v="41"/>
    <d v="2024-10-25T00:00:00"/>
    <x v="1"/>
    <x v="4"/>
    <x v="0"/>
    <x v="1"/>
    <x v="1"/>
    <x v="5"/>
  </r>
  <r>
    <s v="P047"/>
    <n v="50"/>
    <x v="1"/>
    <n v="37.700000000000003"/>
    <n v="180"/>
    <n v="119"/>
    <x v="1"/>
    <x v="0"/>
    <x v="0"/>
    <n v="973.26"/>
    <x v="42"/>
    <d v="2024-12-21T00:00:00"/>
    <x v="2"/>
    <x v="1"/>
    <x v="1"/>
    <x v="0"/>
    <x v="1"/>
    <x v="4"/>
  </r>
  <r>
    <s v="P048"/>
    <n v="18"/>
    <x v="0"/>
    <n v="30.1"/>
    <n v="170"/>
    <n v="107"/>
    <x v="0"/>
    <x v="1"/>
    <x v="1"/>
    <n v="3426.07"/>
    <x v="43"/>
    <d v="2025-04-23T00:00:00"/>
    <x v="0"/>
    <x v="0"/>
    <x v="0"/>
    <x v="1"/>
    <x v="1"/>
    <x v="6"/>
  </r>
  <r>
    <s v="P049"/>
    <n v="51"/>
    <x v="1"/>
    <n v="28.6"/>
    <n v="120"/>
    <n v="61"/>
    <x v="0"/>
    <x v="0"/>
    <x v="1"/>
    <n v="2073.9699999999998"/>
    <x v="44"/>
    <d v="2025-09-01T00:00:00"/>
    <x v="0"/>
    <x v="2"/>
    <x v="0"/>
    <x v="0"/>
    <x v="0"/>
    <x v="6"/>
  </r>
  <r>
    <s v="P050"/>
    <n v="82"/>
    <x v="0"/>
    <n v="39.799999999999997"/>
    <n v="177"/>
    <n v="119"/>
    <x v="0"/>
    <x v="0"/>
    <x v="3"/>
    <n v="3852.52"/>
    <x v="45"/>
    <d v="2025-08-14T00:00:00"/>
    <x v="1"/>
    <x v="4"/>
    <x v="0"/>
    <x v="0"/>
    <x v="1"/>
    <x v="12"/>
  </r>
  <r>
    <s v="P051"/>
    <n v="25"/>
    <x v="1"/>
    <n v="27.3"/>
    <n v="178"/>
    <n v="118"/>
    <x v="0"/>
    <x v="1"/>
    <x v="2"/>
    <n v="2101.0500000000002"/>
    <x v="46"/>
    <d v="2024-12-29T00:00:00"/>
    <x v="2"/>
    <x v="3"/>
    <x v="0"/>
    <x v="1"/>
    <x v="1"/>
    <x v="2"/>
  </r>
  <r>
    <s v="P052"/>
    <n v="90"/>
    <x v="1"/>
    <n v="20.5"/>
    <n v="172"/>
    <n v="102"/>
    <x v="0"/>
    <x v="0"/>
    <x v="3"/>
    <n v="4021.64"/>
    <x v="47"/>
    <d v="2025-01-02T00:00:00"/>
    <x v="0"/>
    <x v="4"/>
    <x v="0"/>
    <x v="0"/>
    <x v="1"/>
    <x v="3"/>
  </r>
  <r>
    <s v="P053"/>
    <n v="33"/>
    <x v="0"/>
    <n v="28.4"/>
    <n v="102"/>
    <n v="95"/>
    <x v="0"/>
    <x v="0"/>
    <x v="0"/>
    <n v="3749.63"/>
    <x v="48"/>
    <d v="2025-03-16T00:00:00"/>
    <x v="0"/>
    <x v="3"/>
    <x v="0"/>
    <x v="0"/>
    <x v="1"/>
    <x v="6"/>
  </r>
  <r>
    <s v="P054"/>
    <n v="24"/>
    <x v="1"/>
    <n v="28.5"/>
    <n v="171"/>
    <n v="110"/>
    <x v="0"/>
    <x v="0"/>
    <x v="4"/>
    <n v="4115.57"/>
    <x v="49"/>
    <d v="2025-08-16T00:00:00"/>
    <x v="0"/>
    <x v="0"/>
    <x v="0"/>
    <x v="0"/>
    <x v="1"/>
    <x v="11"/>
  </r>
  <r>
    <s v="P055"/>
    <n v="70"/>
    <x v="0"/>
    <n v="18.2"/>
    <n v="159"/>
    <n v="101"/>
    <x v="0"/>
    <x v="1"/>
    <x v="3"/>
    <n v="3555.68"/>
    <x v="50"/>
    <d v="2024-11-11T00:00:00"/>
    <x v="2"/>
    <x v="4"/>
    <x v="0"/>
    <x v="1"/>
    <x v="1"/>
    <x v="10"/>
  </r>
  <r>
    <s v="P056"/>
    <n v="73"/>
    <x v="0"/>
    <n v="37.799999999999997"/>
    <n v="141"/>
    <n v="105"/>
    <x v="0"/>
    <x v="1"/>
    <x v="2"/>
    <n v="2146.96"/>
    <x v="51"/>
    <d v="2025-01-10T00:00:00"/>
    <x v="0"/>
    <x v="4"/>
    <x v="0"/>
    <x v="1"/>
    <x v="1"/>
    <x v="6"/>
  </r>
  <r>
    <s v="P057"/>
    <n v="79"/>
    <x v="1"/>
    <n v="23.7"/>
    <n v="175"/>
    <n v="90"/>
    <x v="0"/>
    <x v="1"/>
    <x v="3"/>
    <n v="4699.47"/>
    <x v="52"/>
    <d v="2025-06-07T00:00:00"/>
    <x v="0"/>
    <x v="4"/>
    <x v="0"/>
    <x v="1"/>
    <x v="1"/>
    <x v="12"/>
  </r>
  <r>
    <s v="P058"/>
    <n v="68"/>
    <x v="0"/>
    <n v="27.9"/>
    <n v="91"/>
    <n v="73"/>
    <x v="1"/>
    <x v="0"/>
    <x v="1"/>
    <n v="3575.38"/>
    <x v="53"/>
    <d v="2025-07-08T00:00:00"/>
    <x v="2"/>
    <x v="4"/>
    <x v="1"/>
    <x v="0"/>
    <x v="0"/>
    <x v="6"/>
  </r>
  <r>
    <s v="P059"/>
    <n v="23"/>
    <x v="1"/>
    <n v="36.1"/>
    <n v="141"/>
    <n v="116"/>
    <x v="0"/>
    <x v="0"/>
    <x v="4"/>
    <n v="671.28"/>
    <x v="26"/>
    <d v="2025-01-25T00:00:00"/>
    <x v="2"/>
    <x v="0"/>
    <x v="0"/>
    <x v="0"/>
    <x v="1"/>
    <x v="7"/>
  </r>
  <r>
    <s v="P060"/>
    <n v="47"/>
    <x v="0"/>
    <n v="27.2"/>
    <n v="113"/>
    <n v="88"/>
    <x v="1"/>
    <x v="0"/>
    <x v="0"/>
    <n v="2035.65"/>
    <x v="54"/>
    <d v="2025-08-29T00:00:00"/>
    <x v="2"/>
    <x v="1"/>
    <x v="1"/>
    <x v="0"/>
    <x v="0"/>
    <x v="4"/>
  </r>
  <r>
    <s v="P061"/>
    <n v="35"/>
    <x v="0"/>
    <n v="34.5"/>
    <n v="90"/>
    <n v="102"/>
    <x v="1"/>
    <x v="0"/>
    <x v="0"/>
    <n v="2138.59"/>
    <x v="55"/>
    <d v="2025-02-26T00:00:00"/>
    <x v="0"/>
    <x v="3"/>
    <x v="1"/>
    <x v="0"/>
    <x v="1"/>
    <x v="11"/>
  </r>
  <r>
    <s v="P062"/>
    <n v="25"/>
    <x v="1"/>
    <n v="23"/>
    <n v="121"/>
    <n v="114"/>
    <x v="0"/>
    <x v="0"/>
    <x v="3"/>
    <n v="2627.19"/>
    <x v="56"/>
    <d v="2024-11-27T00:00:00"/>
    <x v="2"/>
    <x v="3"/>
    <x v="0"/>
    <x v="0"/>
    <x v="1"/>
    <x v="11"/>
  </r>
  <r>
    <s v="P063"/>
    <n v="72"/>
    <x v="0"/>
    <n v="29.2"/>
    <n v="120"/>
    <n v="60"/>
    <x v="0"/>
    <x v="0"/>
    <x v="3"/>
    <n v="754.8"/>
    <x v="42"/>
    <d v="2024-12-22T00:00:00"/>
    <x v="0"/>
    <x v="4"/>
    <x v="0"/>
    <x v="0"/>
    <x v="0"/>
    <x v="5"/>
  </r>
  <r>
    <s v="P064"/>
    <n v="45"/>
    <x v="0"/>
    <n v="27.6"/>
    <n v="104"/>
    <n v="79"/>
    <x v="0"/>
    <x v="1"/>
    <x v="0"/>
    <n v="2902.37"/>
    <x v="27"/>
    <d v="2025-01-20T00:00:00"/>
    <x v="2"/>
    <x v="1"/>
    <x v="0"/>
    <x v="1"/>
    <x v="0"/>
    <x v="12"/>
  </r>
  <r>
    <s v="P065"/>
    <n v="55"/>
    <x v="0"/>
    <n v="26.7"/>
    <n v="157"/>
    <n v="100"/>
    <x v="1"/>
    <x v="0"/>
    <x v="3"/>
    <n v="3971.63"/>
    <x v="57"/>
    <d v="2024-10-17T00:00:00"/>
    <x v="2"/>
    <x v="2"/>
    <x v="1"/>
    <x v="0"/>
    <x v="1"/>
    <x v="10"/>
  </r>
  <r>
    <s v="P066"/>
    <n v="83"/>
    <x v="1"/>
    <n v="33.6"/>
    <n v="146"/>
    <n v="114"/>
    <x v="0"/>
    <x v="1"/>
    <x v="1"/>
    <n v="2119.0500000000002"/>
    <x v="58"/>
    <d v="2025-08-28T00:00:00"/>
    <x v="0"/>
    <x v="4"/>
    <x v="0"/>
    <x v="1"/>
    <x v="1"/>
    <x v="2"/>
  </r>
  <r>
    <s v="P067"/>
    <n v="86"/>
    <x v="1"/>
    <n v="37.4"/>
    <n v="136"/>
    <n v="116"/>
    <x v="0"/>
    <x v="0"/>
    <x v="3"/>
    <n v="2663.21"/>
    <x v="45"/>
    <d v="2025-08-02T00:00:00"/>
    <x v="2"/>
    <x v="4"/>
    <x v="0"/>
    <x v="0"/>
    <x v="1"/>
    <x v="9"/>
  </r>
  <r>
    <s v="P068"/>
    <n v="64"/>
    <x v="1"/>
    <n v="29.6"/>
    <n v="138"/>
    <n v="90"/>
    <x v="0"/>
    <x v="0"/>
    <x v="4"/>
    <n v="4823.18"/>
    <x v="59"/>
    <d v="2024-11-03T00:00:00"/>
    <x v="0"/>
    <x v="2"/>
    <x v="0"/>
    <x v="0"/>
    <x v="1"/>
    <x v="0"/>
  </r>
  <r>
    <s v="P069"/>
    <n v="68"/>
    <x v="1"/>
    <n v="31.3"/>
    <n v="125"/>
    <n v="65"/>
    <x v="0"/>
    <x v="0"/>
    <x v="4"/>
    <n v="4048.37"/>
    <x v="60"/>
    <d v="2024-12-01T00:00:00"/>
    <x v="1"/>
    <x v="4"/>
    <x v="0"/>
    <x v="0"/>
    <x v="0"/>
    <x v="1"/>
  </r>
  <r>
    <s v="P070"/>
    <n v="72"/>
    <x v="1"/>
    <n v="27.7"/>
    <n v="93"/>
    <n v="111"/>
    <x v="1"/>
    <x v="1"/>
    <x v="4"/>
    <n v="2545.14"/>
    <x v="17"/>
    <d v="2024-10-19T00:00:00"/>
    <x v="0"/>
    <x v="4"/>
    <x v="0"/>
    <x v="0"/>
    <x v="1"/>
    <x v="7"/>
  </r>
  <r>
    <s v="P071"/>
    <n v="65"/>
    <x v="1"/>
    <n v="26.2"/>
    <n v="169"/>
    <n v="66"/>
    <x v="1"/>
    <x v="0"/>
    <x v="0"/>
    <n v="2031.32"/>
    <x v="61"/>
    <d v="2025-10-05T00:00:00"/>
    <x v="1"/>
    <x v="2"/>
    <x v="1"/>
    <x v="0"/>
    <x v="1"/>
    <x v="12"/>
  </r>
  <r>
    <s v="P072"/>
    <n v="62"/>
    <x v="1"/>
    <n v="31.6"/>
    <n v="174"/>
    <n v="108"/>
    <x v="1"/>
    <x v="0"/>
    <x v="3"/>
    <n v="542.91999999999996"/>
    <x v="62"/>
    <d v="2024-12-16T00:00:00"/>
    <x v="1"/>
    <x v="2"/>
    <x v="1"/>
    <x v="0"/>
    <x v="1"/>
    <x v="2"/>
  </r>
  <r>
    <s v="P073"/>
    <n v="88"/>
    <x v="1"/>
    <n v="39.299999999999997"/>
    <n v="178"/>
    <n v="79"/>
    <x v="0"/>
    <x v="0"/>
    <x v="3"/>
    <n v="3056.72"/>
    <x v="63"/>
    <d v="2025-08-25T00:00:00"/>
    <x v="0"/>
    <x v="4"/>
    <x v="0"/>
    <x v="0"/>
    <x v="1"/>
    <x v="2"/>
  </r>
  <r>
    <s v="P074"/>
    <n v="50"/>
    <x v="0"/>
    <n v="27.4"/>
    <n v="122"/>
    <n v="98"/>
    <x v="1"/>
    <x v="0"/>
    <x v="0"/>
    <n v="1232.93"/>
    <x v="58"/>
    <d v="2025-08-21T00:00:00"/>
    <x v="1"/>
    <x v="1"/>
    <x v="1"/>
    <x v="0"/>
    <x v="1"/>
    <x v="6"/>
  </r>
  <r>
    <s v="P075"/>
    <n v="54"/>
    <x v="1"/>
    <n v="32.4"/>
    <n v="136"/>
    <n v="117"/>
    <x v="0"/>
    <x v="0"/>
    <x v="0"/>
    <n v="4046.97"/>
    <x v="64"/>
    <d v="2025-10-16T00:00:00"/>
    <x v="2"/>
    <x v="2"/>
    <x v="0"/>
    <x v="0"/>
    <x v="1"/>
    <x v="0"/>
  </r>
  <r>
    <s v="P076"/>
    <n v="56"/>
    <x v="1"/>
    <n v="21.1"/>
    <n v="123"/>
    <n v="67"/>
    <x v="0"/>
    <x v="0"/>
    <x v="4"/>
    <n v="4838.83"/>
    <x v="29"/>
    <d v="2025-09-28T00:00:00"/>
    <x v="2"/>
    <x v="2"/>
    <x v="0"/>
    <x v="0"/>
    <x v="0"/>
    <x v="7"/>
  </r>
  <r>
    <s v="P077"/>
    <n v="67"/>
    <x v="0"/>
    <n v="18.3"/>
    <n v="141"/>
    <n v="114"/>
    <x v="0"/>
    <x v="1"/>
    <x v="4"/>
    <n v="997.35"/>
    <x v="65"/>
    <d v="2025-06-28T00:00:00"/>
    <x v="1"/>
    <x v="4"/>
    <x v="0"/>
    <x v="1"/>
    <x v="1"/>
    <x v="0"/>
  </r>
  <r>
    <s v="P078"/>
    <n v="62"/>
    <x v="1"/>
    <n v="21.1"/>
    <n v="92"/>
    <n v="119"/>
    <x v="0"/>
    <x v="1"/>
    <x v="4"/>
    <n v="712.87"/>
    <x v="66"/>
    <d v="2025-03-19T00:00:00"/>
    <x v="1"/>
    <x v="2"/>
    <x v="0"/>
    <x v="1"/>
    <x v="1"/>
    <x v="11"/>
  </r>
  <r>
    <s v="P079"/>
    <n v="82"/>
    <x v="0"/>
    <n v="20.8"/>
    <n v="120"/>
    <n v="93"/>
    <x v="0"/>
    <x v="0"/>
    <x v="2"/>
    <n v="4994.04"/>
    <x v="39"/>
    <d v="2025-06-24T00:00:00"/>
    <x v="1"/>
    <x v="4"/>
    <x v="0"/>
    <x v="0"/>
    <x v="1"/>
    <x v="9"/>
  </r>
  <r>
    <s v="P080"/>
    <n v="44"/>
    <x v="1"/>
    <n v="26.4"/>
    <n v="177"/>
    <n v="119"/>
    <x v="0"/>
    <x v="0"/>
    <x v="4"/>
    <n v="4452.87"/>
    <x v="16"/>
    <d v="2024-11-30T00:00:00"/>
    <x v="1"/>
    <x v="1"/>
    <x v="0"/>
    <x v="0"/>
    <x v="1"/>
    <x v="11"/>
  </r>
  <r>
    <s v="P081"/>
    <n v="22"/>
    <x v="1"/>
    <n v="23.6"/>
    <n v="127"/>
    <n v="71"/>
    <x v="0"/>
    <x v="1"/>
    <x v="3"/>
    <n v="3456.61"/>
    <x v="67"/>
    <d v="2025-07-28T00:00:00"/>
    <x v="1"/>
    <x v="0"/>
    <x v="0"/>
    <x v="1"/>
    <x v="1"/>
    <x v="12"/>
  </r>
  <r>
    <s v="P082"/>
    <n v="33"/>
    <x v="1"/>
    <n v="18.899999999999999"/>
    <n v="121"/>
    <n v="120"/>
    <x v="0"/>
    <x v="0"/>
    <x v="0"/>
    <n v="3457.75"/>
    <x v="68"/>
    <d v="2025-04-19T00:00:00"/>
    <x v="2"/>
    <x v="3"/>
    <x v="0"/>
    <x v="0"/>
    <x v="1"/>
    <x v="13"/>
  </r>
  <r>
    <s v="P083"/>
    <n v="52"/>
    <x v="0"/>
    <n v="32.4"/>
    <n v="180"/>
    <n v="95"/>
    <x v="1"/>
    <x v="1"/>
    <x v="3"/>
    <n v="1055.1099999999999"/>
    <x v="69"/>
    <d v="2025-06-15T00:00:00"/>
    <x v="2"/>
    <x v="2"/>
    <x v="0"/>
    <x v="0"/>
    <x v="1"/>
    <x v="7"/>
  </r>
  <r>
    <s v="P084"/>
    <n v="76"/>
    <x v="1"/>
    <n v="38"/>
    <n v="112"/>
    <n v="112"/>
    <x v="1"/>
    <x v="1"/>
    <x v="1"/>
    <n v="4600.83"/>
    <x v="70"/>
    <d v="2025-06-22T00:00:00"/>
    <x v="1"/>
    <x v="4"/>
    <x v="0"/>
    <x v="0"/>
    <x v="1"/>
    <x v="11"/>
  </r>
  <r>
    <s v="P085"/>
    <n v="77"/>
    <x v="0"/>
    <n v="25.7"/>
    <n v="151"/>
    <n v="96"/>
    <x v="0"/>
    <x v="0"/>
    <x v="1"/>
    <n v="1303.07"/>
    <x v="71"/>
    <d v="2025-04-21T00:00:00"/>
    <x v="2"/>
    <x v="4"/>
    <x v="0"/>
    <x v="0"/>
    <x v="1"/>
    <x v="13"/>
  </r>
  <r>
    <s v="P086"/>
    <n v="82"/>
    <x v="1"/>
    <n v="26.9"/>
    <n v="129"/>
    <n v="96"/>
    <x v="0"/>
    <x v="0"/>
    <x v="4"/>
    <n v="1876.69"/>
    <x v="23"/>
    <d v="2025-01-21T00:00:00"/>
    <x v="0"/>
    <x v="4"/>
    <x v="0"/>
    <x v="0"/>
    <x v="1"/>
    <x v="4"/>
  </r>
  <r>
    <s v="P087"/>
    <n v="53"/>
    <x v="1"/>
    <n v="19"/>
    <n v="176"/>
    <n v="110"/>
    <x v="1"/>
    <x v="0"/>
    <x v="1"/>
    <n v="150.29"/>
    <x v="72"/>
    <d v="2025-06-04T00:00:00"/>
    <x v="0"/>
    <x v="2"/>
    <x v="1"/>
    <x v="0"/>
    <x v="1"/>
    <x v="10"/>
  </r>
  <r>
    <s v="P088"/>
    <n v="80"/>
    <x v="0"/>
    <n v="30.6"/>
    <n v="115"/>
    <n v="84"/>
    <x v="1"/>
    <x v="1"/>
    <x v="0"/>
    <n v="4080.11"/>
    <x v="33"/>
    <d v="2025-03-23T00:00:00"/>
    <x v="2"/>
    <x v="4"/>
    <x v="0"/>
    <x v="0"/>
    <x v="0"/>
    <x v="12"/>
  </r>
  <r>
    <s v="P089"/>
    <n v="67"/>
    <x v="0"/>
    <n v="36.700000000000003"/>
    <n v="129"/>
    <n v="96"/>
    <x v="1"/>
    <x v="0"/>
    <x v="0"/>
    <n v="3250.28"/>
    <x v="73"/>
    <d v="2024-10-11T00:00:00"/>
    <x v="0"/>
    <x v="4"/>
    <x v="1"/>
    <x v="0"/>
    <x v="1"/>
    <x v="10"/>
  </r>
  <r>
    <s v="P090"/>
    <n v="86"/>
    <x v="0"/>
    <n v="28.2"/>
    <n v="169"/>
    <n v="116"/>
    <x v="0"/>
    <x v="0"/>
    <x v="4"/>
    <n v="273.10000000000002"/>
    <x v="4"/>
    <d v="2025-04-30T00:00:00"/>
    <x v="0"/>
    <x v="4"/>
    <x v="0"/>
    <x v="0"/>
    <x v="1"/>
    <x v="0"/>
  </r>
  <r>
    <s v="P091"/>
    <n v="73"/>
    <x v="1"/>
    <n v="35.9"/>
    <n v="117"/>
    <n v="114"/>
    <x v="0"/>
    <x v="1"/>
    <x v="3"/>
    <n v="4213.29"/>
    <x v="74"/>
    <d v="2025-10-06T00:00:00"/>
    <x v="0"/>
    <x v="4"/>
    <x v="0"/>
    <x v="1"/>
    <x v="1"/>
    <x v="10"/>
  </r>
  <r>
    <s v="P092"/>
    <n v="65"/>
    <x v="1"/>
    <n v="32.799999999999997"/>
    <n v="127"/>
    <n v="105"/>
    <x v="1"/>
    <x v="0"/>
    <x v="2"/>
    <n v="3184.61"/>
    <x v="75"/>
    <d v="2024-11-24T00:00:00"/>
    <x v="2"/>
    <x v="2"/>
    <x v="1"/>
    <x v="0"/>
    <x v="1"/>
    <x v="8"/>
  </r>
  <r>
    <s v="P093"/>
    <n v="57"/>
    <x v="1"/>
    <n v="39.1"/>
    <n v="126"/>
    <n v="95"/>
    <x v="1"/>
    <x v="0"/>
    <x v="0"/>
    <n v="2730.53"/>
    <x v="76"/>
    <d v="2025-03-16T00:00:00"/>
    <x v="2"/>
    <x v="2"/>
    <x v="1"/>
    <x v="0"/>
    <x v="1"/>
    <x v="12"/>
  </r>
  <r>
    <s v="P094"/>
    <n v="78"/>
    <x v="0"/>
    <n v="34.799999999999997"/>
    <n v="128"/>
    <n v="77"/>
    <x v="0"/>
    <x v="1"/>
    <x v="0"/>
    <n v="3834.3"/>
    <x v="77"/>
    <d v="2025-05-26T00:00:00"/>
    <x v="0"/>
    <x v="4"/>
    <x v="0"/>
    <x v="1"/>
    <x v="1"/>
    <x v="10"/>
  </r>
  <r>
    <s v="P095"/>
    <n v="29"/>
    <x v="1"/>
    <n v="32.9"/>
    <n v="148"/>
    <n v="102"/>
    <x v="0"/>
    <x v="1"/>
    <x v="0"/>
    <n v="1633.41"/>
    <x v="78"/>
    <d v="2025-02-10T00:00:00"/>
    <x v="2"/>
    <x v="3"/>
    <x v="0"/>
    <x v="1"/>
    <x v="1"/>
    <x v="8"/>
  </r>
  <r>
    <s v="P096"/>
    <n v="75"/>
    <x v="1"/>
    <n v="30"/>
    <n v="131"/>
    <n v="102"/>
    <x v="0"/>
    <x v="1"/>
    <x v="3"/>
    <n v="161.62"/>
    <x v="79"/>
    <d v="2025-03-28T00:00:00"/>
    <x v="1"/>
    <x v="4"/>
    <x v="0"/>
    <x v="1"/>
    <x v="1"/>
    <x v="4"/>
  </r>
  <r>
    <s v="P097"/>
    <n v="26"/>
    <x v="1"/>
    <n v="22.9"/>
    <n v="97"/>
    <n v="85"/>
    <x v="0"/>
    <x v="0"/>
    <x v="0"/>
    <n v="238.17"/>
    <x v="80"/>
    <d v="2025-09-26T00:00:00"/>
    <x v="1"/>
    <x v="3"/>
    <x v="0"/>
    <x v="0"/>
    <x v="0"/>
    <x v="13"/>
  </r>
  <r>
    <s v="P098"/>
    <n v="28"/>
    <x v="1"/>
    <n v="32.299999999999997"/>
    <n v="143"/>
    <n v="79"/>
    <x v="1"/>
    <x v="1"/>
    <x v="1"/>
    <n v="2327.88"/>
    <x v="81"/>
    <d v="2025-01-14T00:00:00"/>
    <x v="1"/>
    <x v="3"/>
    <x v="0"/>
    <x v="0"/>
    <x v="1"/>
    <x v="6"/>
  </r>
  <r>
    <s v="P099"/>
    <n v="83"/>
    <x v="0"/>
    <n v="19.7"/>
    <n v="149"/>
    <n v="98"/>
    <x v="1"/>
    <x v="1"/>
    <x v="3"/>
    <n v="1778.36"/>
    <x v="82"/>
    <d v="2025-07-17T00:00:00"/>
    <x v="1"/>
    <x v="4"/>
    <x v="0"/>
    <x v="0"/>
    <x v="1"/>
    <x v="11"/>
  </r>
  <r>
    <s v="P100"/>
    <n v="69"/>
    <x v="0"/>
    <n v="36.299999999999997"/>
    <n v="176"/>
    <n v="109"/>
    <x v="1"/>
    <x v="1"/>
    <x v="4"/>
    <n v="4015.86"/>
    <x v="83"/>
    <d v="2025-04-05T00:00:00"/>
    <x v="2"/>
    <x v="4"/>
    <x v="0"/>
    <x v="0"/>
    <x v="1"/>
    <x v="10"/>
  </r>
  <r>
    <s v="P101"/>
    <n v="40"/>
    <x v="1"/>
    <n v="39.9"/>
    <n v="108"/>
    <n v="85"/>
    <x v="1"/>
    <x v="1"/>
    <x v="3"/>
    <n v="245.99"/>
    <x v="84"/>
    <d v="2025-05-14T00:00:00"/>
    <x v="2"/>
    <x v="1"/>
    <x v="0"/>
    <x v="0"/>
    <x v="0"/>
    <x v="6"/>
  </r>
  <r>
    <s v="P102"/>
    <n v="88"/>
    <x v="1"/>
    <n v="39"/>
    <n v="123"/>
    <n v="118"/>
    <x v="0"/>
    <x v="0"/>
    <x v="1"/>
    <n v="3426.65"/>
    <x v="85"/>
    <d v="2025-03-28T00:00:00"/>
    <x v="2"/>
    <x v="4"/>
    <x v="0"/>
    <x v="0"/>
    <x v="1"/>
    <x v="3"/>
  </r>
  <r>
    <s v="P103"/>
    <n v="38"/>
    <x v="1"/>
    <n v="38.700000000000003"/>
    <n v="93"/>
    <n v="118"/>
    <x v="1"/>
    <x v="0"/>
    <x v="4"/>
    <n v="2880.9"/>
    <x v="22"/>
    <d v="2025-08-31T00:00:00"/>
    <x v="2"/>
    <x v="1"/>
    <x v="1"/>
    <x v="0"/>
    <x v="1"/>
    <x v="6"/>
  </r>
  <r>
    <s v="P104"/>
    <n v="36"/>
    <x v="0"/>
    <n v="26.6"/>
    <n v="118"/>
    <n v="100"/>
    <x v="0"/>
    <x v="0"/>
    <x v="2"/>
    <n v="1697.07"/>
    <x v="86"/>
    <d v="2025-07-14T00:00:00"/>
    <x v="0"/>
    <x v="1"/>
    <x v="0"/>
    <x v="0"/>
    <x v="1"/>
    <x v="0"/>
  </r>
  <r>
    <s v="P105"/>
    <n v="64"/>
    <x v="1"/>
    <n v="29.8"/>
    <n v="93"/>
    <n v="119"/>
    <x v="0"/>
    <x v="1"/>
    <x v="2"/>
    <n v="4132.9399999999996"/>
    <x v="77"/>
    <d v="2025-06-02T00:00:00"/>
    <x v="2"/>
    <x v="2"/>
    <x v="0"/>
    <x v="1"/>
    <x v="1"/>
    <x v="0"/>
  </r>
  <r>
    <s v="P106"/>
    <n v="69"/>
    <x v="1"/>
    <n v="27.9"/>
    <n v="162"/>
    <n v="108"/>
    <x v="0"/>
    <x v="0"/>
    <x v="2"/>
    <n v="4602.03"/>
    <x v="87"/>
    <d v="2025-01-12T00:00:00"/>
    <x v="2"/>
    <x v="4"/>
    <x v="0"/>
    <x v="0"/>
    <x v="1"/>
    <x v="7"/>
  </r>
  <r>
    <s v="P107"/>
    <n v="28"/>
    <x v="1"/>
    <n v="38"/>
    <n v="163"/>
    <n v="99"/>
    <x v="0"/>
    <x v="1"/>
    <x v="0"/>
    <n v="3190.4"/>
    <x v="88"/>
    <d v="2025-08-07T00:00:00"/>
    <x v="0"/>
    <x v="3"/>
    <x v="0"/>
    <x v="1"/>
    <x v="1"/>
    <x v="10"/>
  </r>
  <r>
    <s v="P108"/>
    <n v="19"/>
    <x v="1"/>
    <n v="18.2"/>
    <n v="123"/>
    <n v="62"/>
    <x v="0"/>
    <x v="0"/>
    <x v="1"/>
    <n v="3745.05"/>
    <x v="89"/>
    <d v="2024-12-25T00:00:00"/>
    <x v="1"/>
    <x v="0"/>
    <x v="0"/>
    <x v="0"/>
    <x v="0"/>
    <x v="4"/>
  </r>
  <r>
    <s v="P109"/>
    <n v="44"/>
    <x v="0"/>
    <n v="21.7"/>
    <n v="111"/>
    <n v="120"/>
    <x v="0"/>
    <x v="1"/>
    <x v="3"/>
    <n v="4342.01"/>
    <x v="90"/>
    <d v="2025-01-04T00:00:00"/>
    <x v="1"/>
    <x v="1"/>
    <x v="0"/>
    <x v="1"/>
    <x v="1"/>
    <x v="0"/>
  </r>
  <r>
    <s v="P110"/>
    <n v="85"/>
    <x v="1"/>
    <n v="19.2"/>
    <n v="107"/>
    <n v="106"/>
    <x v="0"/>
    <x v="0"/>
    <x v="0"/>
    <n v="4815.87"/>
    <x v="91"/>
    <d v="2025-04-02T00:00:00"/>
    <x v="0"/>
    <x v="4"/>
    <x v="0"/>
    <x v="0"/>
    <x v="1"/>
    <x v="1"/>
  </r>
  <r>
    <s v="P111"/>
    <n v="49"/>
    <x v="0"/>
    <n v="28.3"/>
    <n v="119"/>
    <n v="78"/>
    <x v="0"/>
    <x v="1"/>
    <x v="4"/>
    <n v="2808.73"/>
    <x v="92"/>
    <d v="2025-05-14T00:00:00"/>
    <x v="1"/>
    <x v="1"/>
    <x v="0"/>
    <x v="1"/>
    <x v="0"/>
    <x v="9"/>
  </r>
  <r>
    <s v="P112"/>
    <n v="88"/>
    <x v="0"/>
    <n v="29.4"/>
    <n v="171"/>
    <n v="95"/>
    <x v="1"/>
    <x v="1"/>
    <x v="4"/>
    <n v="1271.1199999999999"/>
    <x v="1"/>
    <d v="2025-07-05T00:00:00"/>
    <x v="1"/>
    <x v="4"/>
    <x v="0"/>
    <x v="0"/>
    <x v="1"/>
    <x v="7"/>
  </r>
  <r>
    <s v="P113"/>
    <n v="21"/>
    <x v="0"/>
    <n v="32"/>
    <n v="178"/>
    <n v="90"/>
    <x v="1"/>
    <x v="1"/>
    <x v="2"/>
    <n v="911.21"/>
    <x v="93"/>
    <d v="2025-04-04T00:00:00"/>
    <x v="2"/>
    <x v="0"/>
    <x v="0"/>
    <x v="0"/>
    <x v="1"/>
    <x v="13"/>
  </r>
  <r>
    <s v="P114"/>
    <n v="27"/>
    <x v="0"/>
    <n v="35.700000000000003"/>
    <n v="143"/>
    <n v="70"/>
    <x v="0"/>
    <x v="1"/>
    <x v="3"/>
    <n v="2620.6"/>
    <x v="94"/>
    <d v="2025-01-07T00:00:00"/>
    <x v="0"/>
    <x v="3"/>
    <x v="0"/>
    <x v="1"/>
    <x v="1"/>
    <x v="3"/>
  </r>
  <r>
    <s v="P115"/>
    <n v="45"/>
    <x v="1"/>
    <n v="30.1"/>
    <n v="168"/>
    <n v="88"/>
    <x v="0"/>
    <x v="1"/>
    <x v="3"/>
    <n v="4848.54"/>
    <x v="36"/>
    <d v="2025-07-06T00:00:00"/>
    <x v="0"/>
    <x v="1"/>
    <x v="0"/>
    <x v="1"/>
    <x v="1"/>
    <x v="5"/>
  </r>
  <r>
    <s v="P116"/>
    <n v="39"/>
    <x v="0"/>
    <n v="35.4"/>
    <n v="180"/>
    <n v="80"/>
    <x v="0"/>
    <x v="0"/>
    <x v="3"/>
    <n v="227.77"/>
    <x v="31"/>
    <d v="2025-10-04T00:00:00"/>
    <x v="1"/>
    <x v="1"/>
    <x v="0"/>
    <x v="0"/>
    <x v="1"/>
    <x v="0"/>
  </r>
  <r>
    <s v="P117"/>
    <n v="33"/>
    <x v="1"/>
    <n v="24.4"/>
    <n v="154"/>
    <n v="106"/>
    <x v="1"/>
    <x v="1"/>
    <x v="0"/>
    <n v="1460.67"/>
    <x v="95"/>
    <d v="2025-06-03T00:00:00"/>
    <x v="1"/>
    <x v="3"/>
    <x v="0"/>
    <x v="0"/>
    <x v="1"/>
    <x v="4"/>
  </r>
  <r>
    <s v="P118"/>
    <n v="78"/>
    <x v="0"/>
    <n v="33.200000000000003"/>
    <n v="135"/>
    <n v="80"/>
    <x v="0"/>
    <x v="1"/>
    <x v="4"/>
    <n v="2646.15"/>
    <x v="96"/>
    <d v="2025-04-25T00:00:00"/>
    <x v="0"/>
    <x v="4"/>
    <x v="0"/>
    <x v="1"/>
    <x v="1"/>
    <x v="7"/>
  </r>
  <r>
    <s v="P119"/>
    <n v="22"/>
    <x v="1"/>
    <n v="28.2"/>
    <n v="175"/>
    <n v="109"/>
    <x v="1"/>
    <x v="1"/>
    <x v="1"/>
    <n v="4474.53"/>
    <x v="97"/>
    <d v="2024-10-13T00:00:00"/>
    <x v="1"/>
    <x v="0"/>
    <x v="0"/>
    <x v="0"/>
    <x v="1"/>
    <x v="4"/>
  </r>
  <r>
    <s v="P120"/>
    <n v="65"/>
    <x v="0"/>
    <n v="33.200000000000003"/>
    <n v="155"/>
    <n v="104"/>
    <x v="1"/>
    <x v="0"/>
    <x v="0"/>
    <n v="1080.54"/>
    <x v="98"/>
    <d v="2025-09-12T00:00:00"/>
    <x v="1"/>
    <x v="2"/>
    <x v="1"/>
    <x v="0"/>
    <x v="1"/>
    <x v="8"/>
  </r>
  <r>
    <s v="P121"/>
    <n v="81"/>
    <x v="0"/>
    <n v="20.8"/>
    <n v="141"/>
    <n v="114"/>
    <x v="1"/>
    <x v="1"/>
    <x v="2"/>
    <n v="2909.27"/>
    <x v="99"/>
    <d v="2025-09-09T00:00:00"/>
    <x v="1"/>
    <x v="4"/>
    <x v="0"/>
    <x v="0"/>
    <x v="1"/>
    <x v="0"/>
  </r>
  <r>
    <s v="P122"/>
    <n v="38"/>
    <x v="0"/>
    <n v="29.9"/>
    <n v="127"/>
    <n v="65"/>
    <x v="1"/>
    <x v="0"/>
    <x v="2"/>
    <n v="3017.77"/>
    <x v="100"/>
    <d v="2025-04-24T00:00:00"/>
    <x v="1"/>
    <x v="1"/>
    <x v="1"/>
    <x v="0"/>
    <x v="1"/>
    <x v="6"/>
  </r>
  <r>
    <s v="P123"/>
    <n v="62"/>
    <x v="0"/>
    <n v="19.5"/>
    <n v="97"/>
    <n v="118"/>
    <x v="0"/>
    <x v="0"/>
    <x v="3"/>
    <n v="2244.23"/>
    <x v="82"/>
    <d v="2025-07-15T00:00:00"/>
    <x v="2"/>
    <x v="2"/>
    <x v="0"/>
    <x v="0"/>
    <x v="1"/>
    <x v="8"/>
  </r>
  <r>
    <s v="P124"/>
    <n v="86"/>
    <x v="0"/>
    <n v="36.700000000000003"/>
    <n v="106"/>
    <n v="80"/>
    <x v="0"/>
    <x v="0"/>
    <x v="4"/>
    <n v="3713.04"/>
    <x v="101"/>
    <d v="2025-06-23T00:00:00"/>
    <x v="2"/>
    <x v="4"/>
    <x v="0"/>
    <x v="0"/>
    <x v="0"/>
    <x v="8"/>
  </r>
  <r>
    <s v="P125"/>
    <n v="49"/>
    <x v="1"/>
    <n v="24.9"/>
    <n v="103"/>
    <n v="90"/>
    <x v="1"/>
    <x v="1"/>
    <x v="4"/>
    <n v="3246.6"/>
    <x v="76"/>
    <d v="2025-03-14T00:00:00"/>
    <x v="1"/>
    <x v="1"/>
    <x v="0"/>
    <x v="0"/>
    <x v="0"/>
    <x v="0"/>
  </r>
  <r>
    <s v="P126"/>
    <n v="39"/>
    <x v="1"/>
    <n v="27.3"/>
    <n v="172"/>
    <n v="61"/>
    <x v="0"/>
    <x v="0"/>
    <x v="2"/>
    <n v="285.58"/>
    <x v="32"/>
    <d v="2025-09-08T00:00:00"/>
    <x v="1"/>
    <x v="1"/>
    <x v="0"/>
    <x v="0"/>
    <x v="1"/>
    <x v="0"/>
  </r>
  <r>
    <s v="P127"/>
    <n v="26"/>
    <x v="1"/>
    <n v="32.200000000000003"/>
    <n v="120"/>
    <n v="83"/>
    <x v="1"/>
    <x v="0"/>
    <x v="4"/>
    <n v="2154.2399999999998"/>
    <x v="36"/>
    <d v="2025-07-12T00:00:00"/>
    <x v="2"/>
    <x v="3"/>
    <x v="1"/>
    <x v="0"/>
    <x v="0"/>
    <x v="11"/>
  </r>
  <r>
    <s v="P128"/>
    <n v="57"/>
    <x v="0"/>
    <n v="34.6"/>
    <n v="121"/>
    <n v="78"/>
    <x v="1"/>
    <x v="0"/>
    <x v="0"/>
    <n v="4206.99"/>
    <x v="79"/>
    <d v="2025-04-03T00:00:00"/>
    <x v="0"/>
    <x v="2"/>
    <x v="1"/>
    <x v="0"/>
    <x v="0"/>
    <x v="0"/>
  </r>
  <r>
    <s v="P129"/>
    <n v="44"/>
    <x v="0"/>
    <n v="24"/>
    <n v="107"/>
    <n v="96"/>
    <x v="0"/>
    <x v="1"/>
    <x v="4"/>
    <n v="229.49"/>
    <x v="102"/>
    <d v="2025-01-28T00:00:00"/>
    <x v="1"/>
    <x v="1"/>
    <x v="0"/>
    <x v="1"/>
    <x v="1"/>
    <x v="6"/>
  </r>
  <r>
    <s v="P130"/>
    <n v="89"/>
    <x v="1"/>
    <n v="39.299999999999997"/>
    <n v="170"/>
    <n v="104"/>
    <x v="1"/>
    <x v="0"/>
    <x v="2"/>
    <n v="755.7"/>
    <x v="3"/>
    <d v="2025-02-17T00:00:00"/>
    <x v="1"/>
    <x v="4"/>
    <x v="1"/>
    <x v="0"/>
    <x v="1"/>
    <x v="5"/>
  </r>
  <r>
    <s v="P131"/>
    <n v="88"/>
    <x v="0"/>
    <n v="27.9"/>
    <n v="111"/>
    <n v="95"/>
    <x v="1"/>
    <x v="1"/>
    <x v="1"/>
    <n v="152.71"/>
    <x v="103"/>
    <d v="2025-04-04T00:00:00"/>
    <x v="1"/>
    <x v="4"/>
    <x v="0"/>
    <x v="0"/>
    <x v="1"/>
    <x v="1"/>
  </r>
  <r>
    <s v="P132"/>
    <n v="73"/>
    <x v="0"/>
    <n v="25.1"/>
    <n v="177"/>
    <n v="66"/>
    <x v="0"/>
    <x v="1"/>
    <x v="0"/>
    <n v="1054.43"/>
    <x v="83"/>
    <d v="2025-04-07T00:00:00"/>
    <x v="2"/>
    <x v="4"/>
    <x v="0"/>
    <x v="1"/>
    <x v="1"/>
    <x v="5"/>
  </r>
  <r>
    <s v="P133"/>
    <n v="85"/>
    <x v="0"/>
    <n v="39.9"/>
    <n v="119"/>
    <n v="95"/>
    <x v="1"/>
    <x v="1"/>
    <x v="3"/>
    <n v="163.19"/>
    <x v="41"/>
    <d v="2024-10-31T00:00:00"/>
    <x v="1"/>
    <x v="4"/>
    <x v="0"/>
    <x v="0"/>
    <x v="1"/>
    <x v="11"/>
  </r>
  <r>
    <s v="P134"/>
    <n v="79"/>
    <x v="0"/>
    <n v="30.8"/>
    <n v="147"/>
    <n v="105"/>
    <x v="1"/>
    <x v="0"/>
    <x v="1"/>
    <n v="2924.32"/>
    <x v="104"/>
    <d v="2024-11-24T00:00:00"/>
    <x v="1"/>
    <x v="4"/>
    <x v="1"/>
    <x v="0"/>
    <x v="1"/>
    <x v="10"/>
  </r>
  <r>
    <s v="P135"/>
    <n v="79"/>
    <x v="0"/>
    <n v="26.2"/>
    <n v="132"/>
    <n v="98"/>
    <x v="0"/>
    <x v="1"/>
    <x v="0"/>
    <n v="2691.63"/>
    <x v="93"/>
    <d v="2025-03-31T00:00:00"/>
    <x v="2"/>
    <x v="4"/>
    <x v="0"/>
    <x v="1"/>
    <x v="1"/>
    <x v="4"/>
  </r>
  <r>
    <s v="P136"/>
    <n v="47"/>
    <x v="0"/>
    <n v="34.299999999999997"/>
    <n v="113"/>
    <n v="119"/>
    <x v="0"/>
    <x v="1"/>
    <x v="1"/>
    <n v="3583.98"/>
    <x v="105"/>
    <d v="2024-11-01T00:00:00"/>
    <x v="1"/>
    <x v="1"/>
    <x v="0"/>
    <x v="1"/>
    <x v="1"/>
    <x v="3"/>
  </r>
  <r>
    <s v="P137"/>
    <n v="86"/>
    <x v="0"/>
    <n v="26.4"/>
    <n v="167"/>
    <n v="64"/>
    <x v="0"/>
    <x v="1"/>
    <x v="4"/>
    <n v="4390.37"/>
    <x v="106"/>
    <d v="2025-08-01T00:00:00"/>
    <x v="2"/>
    <x v="4"/>
    <x v="0"/>
    <x v="1"/>
    <x v="1"/>
    <x v="9"/>
  </r>
  <r>
    <s v="P138"/>
    <n v="63"/>
    <x v="0"/>
    <n v="28.5"/>
    <n v="100"/>
    <n v="85"/>
    <x v="1"/>
    <x v="1"/>
    <x v="3"/>
    <n v="2987.43"/>
    <x v="107"/>
    <d v="2025-07-18T00:00:00"/>
    <x v="1"/>
    <x v="2"/>
    <x v="0"/>
    <x v="0"/>
    <x v="0"/>
    <x v="6"/>
  </r>
  <r>
    <s v="P139"/>
    <n v="33"/>
    <x v="0"/>
    <n v="34.200000000000003"/>
    <n v="180"/>
    <n v="85"/>
    <x v="1"/>
    <x v="1"/>
    <x v="3"/>
    <n v="4693.05"/>
    <x v="108"/>
    <d v="2025-09-12T00:00:00"/>
    <x v="0"/>
    <x v="3"/>
    <x v="0"/>
    <x v="0"/>
    <x v="1"/>
    <x v="3"/>
  </r>
  <r>
    <s v="P140"/>
    <n v="89"/>
    <x v="1"/>
    <n v="35.1"/>
    <n v="151"/>
    <n v="119"/>
    <x v="0"/>
    <x v="0"/>
    <x v="4"/>
    <n v="3309.54"/>
    <x v="109"/>
    <d v="2024-12-27T00:00:00"/>
    <x v="2"/>
    <x v="4"/>
    <x v="0"/>
    <x v="0"/>
    <x v="1"/>
    <x v="13"/>
  </r>
  <r>
    <s v="P141"/>
    <n v="29"/>
    <x v="1"/>
    <n v="35.6"/>
    <n v="141"/>
    <n v="71"/>
    <x v="0"/>
    <x v="0"/>
    <x v="4"/>
    <n v="1032.51"/>
    <x v="110"/>
    <d v="2025-09-03T00:00:00"/>
    <x v="0"/>
    <x v="3"/>
    <x v="0"/>
    <x v="0"/>
    <x v="1"/>
    <x v="2"/>
  </r>
  <r>
    <s v="P142"/>
    <n v="80"/>
    <x v="1"/>
    <n v="28"/>
    <n v="164"/>
    <n v="105"/>
    <x v="0"/>
    <x v="0"/>
    <x v="0"/>
    <n v="1826.87"/>
    <x v="111"/>
    <d v="2025-06-13T00:00:00"/>
    <x v="1"/>
    <x v="4"/>
    <x v="0"/>
    <x v="0"/>
    <x v="1"/>
    <x v="4"/>
  </r>
  <r>
    <s v="P143"/>
    <n v="68"/>
    <x v="1"/>
    <n v="24.3"/>
    <n v="149"/>
    <n v="70"/>
    <x v="1"/>
    <x v="1"/>
    <x v="3"/>
    <n v="2837.6"/>
    <x v="112"/>
    <d v="2025-08-09T00:00:00"/>
    <x v="0"/>
    <x v="4"/>
    <x v="0"/>
    <x v="0"/>
    <x v="1"/>
    <x v="9"/>
  </r>
  <r>
    <s v="P144"/>
    <n v="42"/>
    <x v="1"/>
    <n v="21.3"/>
    <n v="118"/>
    <n v="85"/>
    <x v="0"/>
    <x v="0"/>
    <x v="4"/>
    <n v="2553.06"/>
    <x v="113"/>
    <d v="2025-02-02T00:00:00"/>
    <x v="2"/>
    <x v="1"/>
    <x v="0"/>
    <x v="0"/>
    <x v="0"/>
    <x v="6"/>
  </r>
  <r>
    <s v="P145"/>
    <n v="20"/>
    <x v="0"/>
    <n v="25.4"/>
    <n v="132"/>
    <n v="119"/>
    <x v="1"/>
    <x v="0"/>
    <x v="4"/>
    <n v="941.84"/>
    <x v="114"/>
    <d v="2025-08-03T00:00:00"/>
    <x v="1"/>
    <x v="0"/>
    <x v="1"/>
    <x v="0"/>
    <x v="1"/>
    <x v="8"/>
  </r>
  <r>
    <s v="P146"/>
    <n v="50"/>
    <x v="1"/>
    <n v="22.5"/>
    <n v="105"/>
    <n v="76"/>
    <x v="1"/>
    <x v="0"/>
    <x v="2"/>
    <n v="3083.99"/>
    <x v="39"/>
    <d v="2025-06-30T00:00:00"/>
    <x v="2"/>
    <x v="1"/>
    <x v="1"/>
    <x v="0"/>
    <x v="0"/>
    <x v="2"/>
  </r>
  <r>
    <s v="P147"/>
    <n v="66"/>
    <x v="0"/>
    <n v="20.5"/>
    <n v="131"/>
    <n v="63"/>
    <x v="0"/>
    <x v="0"/>
    <x v="4"/>
    <n v="3753.14"/>
    <x v="115"/>
    <d v="2025-03-20T00:00:00"/>
    <x v="1"/>
    <x v="4"/>
    <x v="0"/>
    <x v="0"/>
    <x v="1"/>
    <x v="0"/>
  </r>
  <r>
    <s v="P148"/>
    <n v="30"/>
    <x v="0"/>
    <n v="39"/>
    <n v="132"/>
    <n v="117"/>
    <x v="0"/>
    <x v="0"/>
    <x v="3"/>
    <n v="2623.4"/>
    <x v="57"/>
    <d v="2024-10-20T00:00:00"/>
    <x v="2"/>
    <x v="3"/>
    <x v="0"/>
    <x v="0"/>
    <x v="1"/>
    <x v="2"/>
  </r>
  <r>
    <s v="P149"/>
    <n v="60"/>
    <x v="0"/>
    <n v="25.2"/>
    <n v="148"/>
    <n v="78"/>
    <x v="0"/>
    <x v="0"/>
    <x v="2"/>
    <n v="1659.95"/>
    <x v="116"/>
    <d v="2025-03-31T00:00:00"/>
    <x v="2"/>
    <x v="2"/>
    <x v="0"/>
    <x v="0"/>
    <x v="1"/>
    <x v="2"/>
  </r>
  <r>
    <s v="P150"/>
    <n v="57"/>
    <x v="0"/>
    <n v="39.1"/>
    <n v="123"/>
    <n v="95"/>
    <x v="0"/>
    <x v="0"/>
    <x v="4"/>
    <n v="3094.19"/>
    <x v="117"/>
    <d v="2025-07-29T00:00:00"/>
    <x v="0"/>
    <x v="2"/>
    <x v="0"/>
    <x v="0"/>
    <x v="1"/>
    <x v="11"/>
  </r>
  <r>
    <s v="P151"/>
    <n v="31"/>
    <x v="1"/>
    <n v="20.100000000000001"/>
    <n v="148"/>
    <n v="93"/>
    <x v="0"/>
    <x v="0"/>
    <x v="0"/>
    <n v="341.91"/>
    <x v="118"/>
    <d v="2025-06-06T00:00:00"/>
    <x v="1"/>
    <x v="3"/>
    <x v="0"/>
    <x v="0"/>
    <x v="1"/>
    <x v="6"/>
  </r>
  <r>
    <s v="P152"/>
    <n v="49"/>
    <x v="0"/>
    <n v="24.7"/>
    <n v="166"/>
    <n v="88"/>
    <x v="1"/>
    <x v="1"/>
    <x v="3"/>
    <n v="1154.76"/>
    <x v="93"/>
    <d v="2025-04-04T00:00:00"/>
    <x v="1"/>
    <x v="1"/>
    <x v="0"/>
    <x v="0"/>
    <x v="1"/>
    <x v="13"/>
  </r>
  <r>
    <s v="P153"/>
    <n v="20"/>
    <x v="0"/>
    <n v="25.6"/>
    <n v="100"/>
    <n v="99"/>
    <x v="0"/>
    <x v="1"/>
    <x v="1"/>
    <n v="3739.8"/>
    <x v="119"/>
    <d v="2025-09-05T00:00:00"/>
    <x v="1"/>
    <x v="0"/>
    <x v="0"/>
    <x v="1"/>
    <x v="1"/>
    <x v="6"/>
  </r>
  <r>
    <s v="P154"/>
    <n v="80"/>
    <x v="0"/>
    <n v="32.5"/>
    <n v="145"/>
    <n v="65"/>
    <x v="0"/>
    <x v="0"/>
    <x v="3"/>
    <n v="1154.51"/>
    <x v="28"/>
    <d v="2025-05-22T00:00:00"/>
    <x v="2"/>
    <x v="4"/>
    <x v="0"/>
    <x v="0"/>
    <x v="1"/>
    <x v="1"/>
  </r>
  <r>
    <s v="P155"/>
    <n v="57"/>
    <x v="0"/>
    <n v="22.5"/>
    <n v="148"/>
    <n v="81"/>
    <x v="1"/>
    <x v="1"/>
    <x v="2"/>
    <n v="1608.52"/>
    <x v="12"/>
    <d v="2025-02-06T00:00:00"/>
    <x v="2"/>
    <x v="2"/>
    <x v="0"/>
    <x v="0"/>
    <x v="1"/>
    <x v="7"/>
  </r>
  <r>
    <s v="P156"/>
    <n v="67"/>
    <x v="1"/>
    <n v="25.5"/>
    <n v="154"/>
    <n v="113"/>
    <x v="0"/>
    <x v="1"/>
    <x v="2"/>
    <n v="249.64"/>
    <x v="38"/>
    <d v="2025-03-15T00:00:00"/>
    <x v="2"/>
    <x v="4"/>
    <x v="0"/>
    <x v="1"/>
    <x v="1"/>
    <x v="10"/>
  </r>
  <r>
    <s v="P157"/>
    <n v="75"/>
    <x v="0"/>
    <n v="28.6"/>
    <n v="162"/>
    <n v="87"/>
    <x v="1"/>
    <x v="0"/>
    <x v="3"/>
    <n v="2834.88"/>
    <x v="120"/>
    <d v="2024-12-05T00:00:00"/>
    <x v="0"/>
    <x v="4"/>
    <x v="1"/>
    <x v="0"/>
    <x v="1"/>
    <x v="6"/>
  </r>
  <r>
    <s v="P158"/>
    <n v="90"/>
    <x v="1"/>
    <n v="22.7"/>
    <n v="177"/>
    <n v="116"/>
    <x v="0"/>
    <x v="1"/>
    <x v="0"/>
    <n v="2583.5700000000002"/>
    <x v="121"/>
    <d v="2025-07-17T00:00:00"/>
    <x v="2"/>
    <x v="4"/>
    <x v="0"/>
    <x v="1"/>
    <x v="1"/>
    <x v="3"/>
  </r>
  <r>
    <s v="P159"/>
    <n v="49"/>
    <x v="0"/>
    <n v="19.600000000000001"/>
    <n v="153"/>
    <n v="70"/>
    <x v="0"/>
    <x v="0"/>
    <x v="0"/>
    <n v="1534.23"/>
    <x v="91"/>
    <d v="2025-04-13T00:00:00"/>
    <x v="1"/>
    <x v="1"/>
    <x v="0"/>
    <x v="0"/>
    <x v="1"/>
    <x v="12"/>
  </r>
  <r>
    <s v="P160"/>
    <n v="52"/>
    <x v="0"/>
    <n v="29.7"/>
    <n v="94"/>
    <n v="76"/>
    <x v="0"/>
    <x v="1"/>
    <x v="2"/>
    <n v="1635.83"/>
    <x v="104"/>
    <d v="2024-12-02T00:00:00"/>
    <x v="1"/>
    <x v="2"/>
    <x v="0"/>
    <x v="1"/>
    <x v="0"/>
    <x v="11"/>
  </r>
  <r>
    <s v="P161"/>
    <n v="44"/>
    <x v="1"/>
    <n v="21.3"/>
    <n v="115"/>
    <n v="118"/>
    <x v="0"/>
    <x v="0"/>
    <x v="3"/>
    <n v="141.18"/>
    <x v="122"/>
    <d v="2025-09-01T00:00:00"/>
    <x v="0"/>
    <x v="1"/>
    <x v="0"/>
    <x v="0"/>
    <x v="1"/>
    <x v="11"/>
  </r>
  <r>
    <s v="P162"/>
    <n v="63"/>
    <x v="1"/>
    <n v="22.3"/>
    <n v="154"/>
    <n v="104"/>
    <x v="0"/>
    <x v="0"/>
    <x v="3"/>
    <n v="1013.59"/>
    <x v="83"/>
    <d v="2025-04-12T00:00:00"/>
    <x v="2"/>
    <x v="2"/>
    <x v="0"/>
    <x v="0"/>
    <x v="1"/>
    <x v="0"/>
  </r>
  <r>
    <s v="P163"/>
    <n v="42"/>
    <x v="0"/>
    <n v="29.4"/>
    <n v="174"/>
    <n v="84"/>
    <x v="1"/>
    <x v="0"/>
    <x v="4"/>
    <n v="1143.83"/>
    <x v="123"/>
    <d v="2025-10-04T00:00:00"/>
    <x v="0"/>
    <x v="1"/>
    <x v="1"/>
    <x v="0"/>
    <x v="1"/>
    <x v="9"/>
  </r>
  <r>
    <s v="P164"/>
    <n v="37"/>
    <x v="0"/>
    <n v="21.2"/>
    <n v="97"/>
    <n v="119"/>
    <x v="0"/>
    <x v="1"/>
    <x v="1"/>
    <n v="3598.47"/>
    <x v="124"/>
    <d v="2024-12-07T00:00:00"/>
    <x v="2"/>
    <x v="1"/>
    <x v="0"/>
    <x v="1"/>
    <x v="1"/>
    <x v="0"/>
  </r>
  <r>
    <s v="P165"/>
    <n v="28"/>
    <x v="1"/>
    <n v="25.5"/>
    <n v="180"/>
    <n v="112"/>
    <x v="0"/>
    <x v="1"/>
    <x v="0"/>
    <n v="747.91"/>
    <x v="125"/>
    <d v="2025-01-12T00:00:00"/>
    <x v="2"/>
    <x v="3"/>
    <x v="0"/>
    <x v="1"/>
    <x v="1"/>
    <x v="6"/>
  </r>
  <r>
    <s v="P166"/>
    <n v="55"/>
    <x v="0"/>
    <n v="38.700000000000003"/>
    <n v="159"/>
    <n v="66"/>
    <x v="1"/>
    <x v="1"/>
    <x v="1"/>
    <n v="3008.49"/>
    <x v="4"/>
    <d v="2025-04-19T00:00:00"/>
    <x v="2"/>
    <x v="2"/>
    <x v="0"/>
    <x v="0"/>
    <x v="1"/>
    <x v="6"/>
  </r>
  <r>
    <s v="P167"/>
    <n v="76"/>
    <x v="1"/>
    <n v="31.5"/>
    <n v="147"/>
    <n v="89"/>
    <x v="0"/>
    <x v="1"/>
    <x v="0"/>
    <n v="3897.78"/>
    <x v="74"/>
    <d v="2025-10-10T00:00:00"/>
    <x v="0"/>
    <x v="4"/>
    <x v="0"/>
    <x v="1"/>
    <x v="1"/>
    <x v="3"/>
  </r>
  <r>
    <s v="P168"/>
    <n v="82"/>
    <x v="1"/>
    <n v="19.600000000000001"/>
    <n v="112"/>
    <n v="117"/>
    <x v="1"/>
    <x v="0"/>
    <x v="4"/>
    <n v="4348.03"/>
    <x v="65"/>
    <d v="2025-06-28T00:00:00"/>
    <x v="2"/>
    <x v="4"/>
    <x v="1"/>
    <x v="0"/>
    <x v="1"/>
    <x v="0"/>
  </r>
  <r>
    <s v="P169"/>
    <n v="82"/>
    <x v="1"/>
    <n v="32.700000000000003"/>
    <n v="91"/>
    <n v="80"/>
    <x v="1"/>
    <x v="1"/>
    <x v="4"/>
    <n v="2480.9499999999998"/>
    <x v="126"/>
    <d v="2025-03-03T00:00:00"/>
    <x v="0"/>
    <x v="4"/>
    <x v="0"/>
    <x v="0"/>
    <x v="0"/>
    <x v="8"/>
  </r>
  <r>
    <s v="P170"/>
    <n v="82"/>
    <x v="0"/>
    <n v="22.9"/>
    <n v="158"/>
    <n v="116"/>
    <x v="1"/>
    <x v="0"/>
    <x v="4"/>
    <n v="2722.86"/>
    <x v="127"/>
    <d v="2025-10-09T00:00:00"/>
    <x v="1"/>
    <x v="4"/>
    <x v="1"/>
    <x v="0"/>
    <x v="1"/>
    <x v="8"/>
  </r>
  <r>
    <s v="P171"/>
    <n v="18"/>
    <x v="1"/>
    <n v="22.7"/>
    <n v="136"/>
    <n v="70"/>
    <x v="0"/>
    <x v="0"/>
    <x v="4"/>
    <n v="1456.63"/>
    <x v="128"/>
    <d v="2025-09-06T00:00:00"/>
    <x v="1"/>
    <x v="0"/>
    <x v="0"/>
    <x v="0"/>
    <x v="1"/>
    <x v="6"/>
  </r>
  <r>
    <s v="P172"/>
    <n v="89"/>
    <x v="0"/>
    <n v="29.3"/>
    <n v="156"/>
    <n v="113"/>
    <x v="0"/>
    <x v="1"/>
    <x v="1"/>
    <n v="2788.24"/>
    <x v="129"/>
    <d v="2024-12-19T00:00:00"/>
    <x v="2"/>
    <x v="4"/>
    <x v="0"/>
    <x v="1"/>
    <x v="1"/>
    <x v="13"/>
  </r>
  <r>
    <s v="P173"/>
    <n v="24"/>
    <x v="0"/>
    <n v="18"/>
    <n v="132"/>
    <n v="94"/>
    <x v="0"/>
    <x v="0"/>
    <x v="1"/>
    <n v="884.93"/>
    <x v="130"/>
    <d v="2025-03-04T00:00:00"/>
    <x v="1"/>
    <x v="0"/>
    <x v="0"/>
    <x v="0"/>
    <x v="1"/>
    <x v="3"/>
  </r>
  <r>
    <s v="P174"/>
    <n v="90"/>
    <x v="0"/>
    <n v="26.2"/>
    <n v="179"/>
    <n v="119"/>
    <x v="1"/>
    <x v="0"/>
    <x v="4"/>
    <n v="4368.3"/>
    <x v="90"/>
    <d v="2025-01-04T00:00:00"/>
    <x v="0"/>
    <x v="4"/>
    <x v="1"/>
    <x v="0"/>
    <x v="1"/>
    <x v="0"/>
  </r>
  <r>
    <s v="P175"/>
    <n v="44"/>
    <x v="1"/>
    <n v="36.799999999999997"/>
    <n v="180"/>
    <n v="117"/>
    <x v="1"/>
    <x v="0"/>
    <x v="1"/>
    <n v="3424.59"/>
    <x v="22"/>
    <d v="2025-09-02T00:00:00"/>
    <x v="0"/>
    <x v="1"/>
    <x v="1"/>
    <x v="0"/>
    <x v="1"/>
    <x v="1"/>
  </r>
  <r>
    <s v="P176"/>
    <n v="23"/>
    <x v="0"/>
    <n v="21"/>
    <n v="114"/>
    <n v="95"/>
    <x v="0"/>
    <x v="1"/>
    <x v="4"/>
    <n v="325.45"/>
    <x v="131"/>
    <d v="2025-03-27T00:00:00"/>
    <x v="2"/>
    <x v="0"/>
    <x v="0"/>
    <x v="1"/>
    <x v="1"/>
    <x v="1"/>
  </r>
  <r>
    <s v="P177"/>
    <n v="55"/>
    <x v="1"/>
    <n v="23.7"/>
    <n v="118"/>
    <n v="68"/>
    <x v="0"/>
    <x v="1"/>
    <x v="3"/>
    <n v="4769.1400000000003"/>
    <x v="90"/>
    <d v="2025-01-03T00:00:00"/>
    <x v="0"/>
    <x v="2"/>
    <x v="0"/>
    <x v="1"/>
    <x v="0"/>
    <x v="8"/>
  </r>
  <r>
    <s v="P178"/>
    <n v="74"/>
    <x v="0"/>
    <n v="29.7"/>
    <n v="103"/>
    <n v="93"/>
    <x v="0"/>
    <x v="0"/>
    <x v="0"/>
    <n v="1222.49"/>
    <x v="132"/>
    <d v="2025-06-19T00:00:00"/>
    <x v="0"/>
    <x v="4"/>
    <x v="0"/>
    <x v="0"/>
    <x v="1"/>
    <x v="9"/>
  </r>
  <r>
    <s v="P179"/>
    <n v="53"/>
    <x v="0"/>
    <n v="23.5"/>
    <n v="169"/>
    <n v="100"/>
    <x v="1"/>
    <x v="1"/>
    <x v="1"/>
    <n v="510.63"/>
    <x v="133"/>
    <d v="2025-05-26T00:00:00"/>
    <x v="0"/>
    <x v="2"/>
    <x v="0"/>
    <x v="0"/>
    <x v="1"/>
    <x v="1"/>
  </r>
  <r>
    <s v="P180"/>
    <n v="38"/>
    <x v="0"/>
    <n v="23.1"/>
    <n v="91"/>
    <n v="96"/>
    <x v="1"/>
    <x v="0"/>
    <x v="3"/>
    <n v="4415.9799999999996"/>
    <x v="134"/>
    <d v="2025-04-07T00:00:00"/>
    <x v="1"/>
    <x v="1"/>
    <x v="1"/>
    <x v="0"/>
    <x v="1"/>
    <x v="7"/>
  </r>
  <r>
    <s v="P181"/>
    <n v="39"/>
    <x v="1"/>
    <n v="28"/>
    <n v="132"/>
    <n v="90"/>
    <x v="0"/>
    <x v="1"/>
    <x v="1"/>
    <n v="1674.86"/>
    <x v="135"/>
    <d v="2024-11-10T00:00:00"/>
    <x v="1"/>
    <x v="1"/>
    <x v="0"/>
    <x v="1"/>
    <x v="1"/>
    <x v="3"/>
  </r>
  <r>
    <s v="P182"/>
    <n v="39"/>
    <x v="1"/>
    <n v="23.3"/>
    <n v="104"/>
    <n v="107"/>
    <x v="0"/>
    <x v="1"/>
    <x v="2"/>
    <n v="1103.5"/>
    <x v="136"/>
    <d v="2025-08-22T00:00:00"/>
    <x v="1"/>
    <x v="1"/>
    <x v="0"/>
    <x v="1"/>
    <x v="1"/>
    <x v="0"/>
  </r>
  <r>
    <s v="P183"/>
    <n v="70"/>
    <x v="0"/>
    <n v="34.200000000000003"/>
    <n v="142"/>
    <n v="104"/>
    <x v="1"/>
    <x v="1"/>
    <x v="1"/>
    <n v="4127.17"/>
    <x v="74"/>
    <d v="2025-10-11T00:00:00"/>
    <x v="1"/>
    <x v="4"/>
    <x v="0"/>
    <x v="0"/>
    <x v="1"/>
    <x v="13"/>
  </r>
  <r>
    <s v="P184"/>
    <n v="66"/>
    <x v="1"/>
    <n v="24.7"/>
    <n v="97"/>
    <n v="103"/>
    <x v="1"/>
    <x v="0"/>
    <x v="0"/>
    <n v="217.35"/>
    <x v="137"/>
    <d v="2025-09-19T00:00:00"/>
    <x v="0"/>
    <x v="4"/>
    <x v="1"/>
    <x v="0"/>
    <x v="1"/>
    <x v="11"/>
  </r>
  <r>
    <s v="P185"/>
    <n v="40"/>
    <x v="0"/>
    <n v="36.700000000000003"/>
    <n v="161"/>
    <n v="105"/>
    <x v="1"/>
    <x v="0"/>
    <x v="2"/>
    <n v="3805.28"/>
    <x v="44"/>
    <d v="2025-09-07T00:00:00"/>
    <x v="0"/>
    <x v="1"/>
    <x v="1"/>
    <x v="0"/>
    <x v="1"/>
    <x v="5"/>
  </r>
  <r>
    <s v="P186"/>
    <n v="62"/>
    <x v="0"/>
    <n v="33.1"/>
    <n v="166"/>
    <n v="82"/>
    <x v="1"/>
    <x v="0"/>
    <x v="0"/>
    <n v="2179.35"/>
    <x v="138"/>
    <d v="2025-01-10T00:00:00"/>
    <x v="1"/>
    <x v="2"/>
    <x v="1"/>
    <x v="0"/>
    <x v="1"/>
    <x v="8"/>
  </r>
  <r>
    <s v="P187"/>
    <n v="44"/>
    <x v="1"/>
    <n v="39.6"/>
    <n v="171"/>
    <n v="92"/>
    <x v="0"/>
    <x v="0"/>
    <x v="0"/>
    <n v="2511.9299999999998"/>
    <x v="40"/>
    <d v="2025-01-06T00:00:00"/>
    <x v="0"/>
    <x v="1"/>
    <x v="0"/>
    <x v="0"/>
    <x v="1"/>
    <x v="7"/>
  </r>
  <r>
    <s v="P188"/>
    <n v="41"/>
    <x v="1"/>
    <n v="31.6"/>
    <n v="141"/>
    <n v="74"/>
    <x v="1"/>
    <x v="0"/>
    <x v="4"/>
    <n v="562.74"/>
    <x v="139"/>
    <d v="2025-04-10T00:00:00"/>
    <x v="1"/>
    <x v="1"/>
    <x v="1"/>
    <x v="0"/>
    <x v="1"/>
    <x v="9"/>
  </r>
  <r>
    <s v="P189"/>
    <n v="38"/>
    <x v="1"/>
    <n v="30.6"/>
    <n v="102"/>
    <n v="86"/>
    <x v="0"/>
    <x v="1"/>
    <x v="1"/>
    <n v="569.54999999999995"/>
    <x v="140"/>
    <d v="2025-07-30T00:00:00"/>
    <x v="2"/>
    <x v="1"/>
    <x v="0"/>
    <x v="1"/>
    <x v="0"/>
    <x v="3"/>
  </r>
  <r>
    <s v="P190"/>
    <n v="65"/>
    <x v="1"/>
    <n v="32.799999999999997"/>
    <n v="154"/>
    <n v="73"/>
    <x v="0"/>
    <x v="0"/>
    <x v="3"/>
    <n v="3740.1"/>
    <x v="87"/>
    <d v="2025-01-13T00:00:00"/>
    <x v="2"/>
    <x v="2"/>
    <x v="0"/>
    <x v="0"/>
    <x v="1"/>
    <x v="10"/>
  </r>
  <r>
    <s v="P191"/>
    <n v="67"/>
    <x v="0"/>
    <n v="23.3"/>
    <n v="112"/>
    <n v="69"/>
    <x v="0"/>
    <x v="1"/>
    <x v="1"/>
    <n v="3592.56"/>
    <x v="117"/>
    <d v="2025-07-23T00:00:00"/>
    <x v="2"/>
    <x v="4"/>
    <x v="0"/>
    <x v="1"/>
    <x v="0"/>
    <x v="5"/>
  </r>
  <r>
    <s v="P192"/>
    <n v="19"/>
    <x v="1"/>
    <n v="27.7"/>
    <n v="148"/>
    <n v="82"/>
    <x v="1"/>
    <x v="0"/>
    <x v="0"/>
    <n v="4729.72"/>
    <x v="139"/>
    <d v="2025-04-21T00:00:00"/>
    <x v="0"/>
    <x v="0"/>
    <x v="1"/>
    <x v="0"/>
    <x v="1"/>
    <x v="11"/>
  </r>
  <r>
    <s v="P193"/>
    <n v="27"/>
    <x v="0"/>
    <n v="36.5"/>
    <n v="164"/>
    <n v="97"/>
    <x v="1"/>
    <x v="0"/>
    <x v="0"/>
    <n v="1520.25"/>
    <x v="141"/>
    <d v="2025-05-06T00:00:00"/>
    <x v="0"/>
    <x v="3"/>
    <x v="1"/>
    <x v="0"/>
    <x v="1"/>
    <x v="13"/>
  </r>
  <r>
    <s v="P194"/>
    <n v="32"/>
    <x v="1"/>
    <n v="36.200000000000003"/>
    <n v="145"/>
    <n v="79"/>
    <x v="0"/>
    <x v="0"/>
    <x v="2"/>
    <n v="4928.3999999999996"/>
    <x v="142"/>
    <d v="2025-04-08T00:00:00"/>
    <x v="2"/>
    <x v="3"/>
    <x v="0"/>
    <x v="0"/>
    <x v="1"/>
    <x v="9"/>
  </r>
  <r>
    <s v="P195"/>
    <n v="59"/>
    <x v="0"/>
    <n v="39"/>
    <n v="139"/>
    <n v="77"/>
    <x v="0"/>
    <x v="0"/>
    <x v="0"/>
    <n v="1245.29"/>
    <x v="143"/>
    <d v="2025-08-27T00:00:00"/>
    <x v="1"/>
    <x v="2"/>
    <x v="0"/>
    <x v="0"/>
    <x v="1"/>
    <x v="11"/>
  </r>
  <r>
    <s v="P196"/>
    <n v="65"/>
    <x v="1"/>
    <n v="22.3"/>
    <n v="118"/>
    <n v="90"/>
    <x v="0"/>
    <x v="1"/>
    <x v="4"/>
    <n v="2556.1"/>
    <x v="118"/>
    <d v="2025-06-15T00:00:00"/>
    <x v="0"/>
    <x v="2"/>
    <x v="0"/>
    <x v="1"/>
    <x v="0"/>
    <x v="13"/>
  </r>
  <r>
    <s v="P197"/>
    <n v="40"/>
    <x v="1"/>
    <n v="34.1"/>
    <n v="167"/>
    <n v="114"/>
    <x v="1"/>
    <x v="0"/>
    <x v="0"/>
    <n v="2599.08"/>
    <x v="144"/>
    <d v="2025-05-19T00:00:00"/>
    <x v="1"/>
    <x v="1"/>
    <x v="1"/>
    <x v="0"/>
    <x v="1"/>
    <x v="3"/>
  </r>
  <r>
    <s v="P198"/>
    <n v="30"/>
    <x v="1"/>
    <n v="39.4"/>
    <n v="140"/>
    <n v="120"/>
    <x v="1"/>
    <x v="0"/>
    <x v="3"/>
    <n v="2259.11"/>
    <x v="42"/>
    <d v="2024-12-21T00:00:00"/>
    <x v="2"/>
    <x v="3"/>
    <x v="1"/>
    <x v="0"/>
    <x v="1"/>
    <x v="4"/>
  </r>
  <r>
    <s v="P199"/>
    <n v="65"/>
    <x v="0"/>
    <n v="33"/>
    <n v="108"/>
    <n v="88"/>
    <x v="1"/>
    <x v="0"/>
    <x v="1"/>
    <n v="1895.61"/>
    <x v="75"/>
    <d v="2024-11-18T00:00:00"/>
    <x v="0"/>
    <x v="2"/>
    <x v="1"/>
    <x v="0"/>
    <x v="0"/>
    <x v="10"/>
  </r>
  <r>
    <s v="P200"/>
    <n v="70"/>
    <x v="0"/>
    <n v="25.2"/>
    <n v="146"/>
    <n v="80"/>
    <x v="1"/>
    <x v="1"/>
    <x v="2"/>
    <n v="2858.53"/>
    <x v="145"/>
    <d v="2025-10-08T00:00:00"/>
    <x v="1"/>
    <x v="4"/>
    <x v="0"/>
    <x v="0"/>
    <x v="1"/>
    <x v="8"/>
  </r>
  <r>
    <s v="P201"/>
    <n v="33"/>
    <x v="0"/>
    <n v="37.4"/>
    <n v="112"/>
    <n v="119"/>
    <x v="0"/>
    <x v="0"/>
    <x v="4"/>
    <n v="4969.66"/>
    <x v="137"/>
    <d v="2025-09-17T00:00:00"/>
    <x v="1"/>
    <x v="3"/>
    <x v="0"/>
    <x v="0"/>
    <x v="1"/>
    <x v="8"/>
  </r>
  <r>
    <s v="P202"/>
    <n v="88"/>
    <x v="1"/>
    <n v="38.200000000000003"/>
    <n v="111"/>
    <n v="66"/>
    <x v="1"/>
    <x v="0"/>
    <x v="0"/>
    <n v="1720.65"/>
    <x v="146"/>
    <d v="2025-08-16T00:00:00"/>
    <x v="2"/>
    <x v="4"/>
    <x v="1"/>
    <x v="0"/>
    <x v="0"/>
    <x v="10"/>
  </r>
  <r>
    <s v="P203"/>
    <n v="56"/>
    <x v="1"/>
    <n v="20.2"/>
    <n v="123"/>
    <n v="113"/>
    <x v="0"/>
    <x v="1"/>
    <x v="0"/>
    <n v="1771.3"/>
    <x v="109"/>
    <d v="2024-12-20T00:00:00"/>
    <x v="1"/>
    <x v="2"/>
    <x v="0"/>
    <x v="1"/>
    <x v="1"/>
    <x v="1"/>
  </r>
  <r>
    <s v="P204"/>
    <n v="42"/>
    <x v="1"/>
    <n v="32.5"/>
    <n v="95"/>
    <n v="103"/>
    <x v="0"/>
    <x v="1"/>
    <x v="0"/>
    <n v="2059.87"/>
    <x v="147"/>
    <d v="2025-01-01T00:00:00"/>
    <x v="1"/>
    <x v="1"/>
    <x v="0"/>
    <x v="1"/>
    <x v="1"/>
    <x v="4"/>
  </r>
  <r>
    <s v="P205"/>
    <n v="74"/>
    <x v="1"/>
    <n v="24.8"/>
    <n v="151"/>
    <n v="113"/>
    <x v="0"/>
    <x v="0"/>
    <x v="4"/>
    <n v="319.79000000000002"/>
    <x v="112"/>
    <d v="2025-08-15T00:00:00"/>
    <x v="0"/>
    <x v="4"/>
    <x v="0"/>
    <x v="0"/>
    <x v="1"/>
    <x v="2"/>
  </r>
  <r>
    <s v="P206"/>
    <n v="19"/>
    <x v="1"/>
    <n v="31"/>
    <n v="154"/>
    <n v="103"/>
    <x v="0"/>
    <x v="0"/>
    <x v="0"/>
    <n v="644.47"/>
    <x v="148"/>
    <d v="2025-03-06T00:00:00"/>
    <x v="1"/>
    <x v="0"/>
    <x v="0"/>
    <x v="0"/>
    <x v="1"/>
    <x v="6"/>
  </r>
  <r>
    <s v="P207"/>
    <n v="54"/>
    <x v="1"/>
    <n v="30.7"/>
    <n v="170"/>
    <n v="71"/>
    <x v="0"/>
    <x v="1"/>
    <x v="2"/>
    <n v="2234.34"/>
    <x v="149"/>
    <d v="2025-06-29T00:00:00"/>
    <x v="0"/>
    <x v="2"/>
    <x v="0"/>
    <x v="1"/>
    <x v="1"/>
    <x v="13"/>
  </r>
  <r>
    <s v="P208"/>
    <n v="51"/>
    <x v="0"/>
    <n v="19.100000000000001"/>
    <n v="144"/>
    <n v="68"/>
    <x v="1"/>
    <x v="1"/>
    <x v="0"/>
    <n v="2019.28"/>
    <x v="150"/>
    <d v="2025-01-30T00:00:00"/>
    <x v="0"/>
    <x v="2"/>
    <x v="0"/>
    <x v="0"/>
    <x v="1"/>
    <x v="6"/>
  </r>
  <r>
    <s v="P209"/>
    <n v="71"/>
    <x v="1"/>
    <n v="18.600000000000001"/>
    <n v="113"/>
    <n v="94"/>
    <x v="0"/>
    <x v="1"/>
    <x v="2"/>
    <n v="3749.26"/>
    <x v="151"/>
    <d v="2025-05-05T00:00:00"/>
    <x v="1"/>
    <x v="4"/>
    <x v="0"/>
    <x v="1"/>
    <x v="1"/>
    <x v="7"/>
  </r>
  <r>
    <s v="P210"/>
    <n v="83"/>
    <x v="0"/>
    <n v="28.6"/>
    <n v="166"/>
    <n v="72"/>
    <x v="0"/>
    <x v="0"/>
    <x v="4"/>
    <n v="4328.45"/>
    <x v="152"/>
    <d v="2025-06-27T00:00:00"/>
    <x v="2"/>
    <x v="4"/>
    <x v="0"/>
    <x v="0"/>
    <x v="1"/>
    <x v="1"/>
  </r>
  <r>
    <s v="P211"/>
    <n v="65"/>
    <x v="0"/>
    <n v="33.700000000000003"/>
    <n v="123"/>
    <n v="116"/>
    <x v="1"/>
    <x v="0"/>
    <x v="0"/>
    <n v="3376.78"/>
    <x v="153"/>
    <d v="2025-01-29T00:00:00"/>
    <x v="2"/>
    <x v="2"/>
    <x v="1"/>
    <x v="0"/>
    <x v="1"/>
    <x v="13"/>
  </r>
  <r>
    <s v="P212"/>
    <n v="66"/>
    <x v="1"/>
    <n v="21.5"/>
    <n v="134"/>
    <n v="113"/>
    <x v="1"/>
    <x v="0"/>
    <x v="3"/>
    <n v="1481.57"/>
    <x v="154"/>
    <d v="2025-07-17T00:00:00"/>
    <x v="0"/>
    <x v="4"/>
    <x v="1"/>
    <x v="0"/>
    <x v="1"/>
    <x v="0"/>
  </r>
  <r>
    <s v="P213"/>
    <n v="56"/>
    <x v="0"/>
    <n v="28.7"/>
    <n v="154"/>
    <n v="67"/>
    <x v="0"/>
    <x v="1"/>
    <x v="0"/>
    <n v="4141.29"/>
    <x v="155"/>
    <d v="2025-06-23T00:00:00"/>
    <x v="2"/>
    <x v="2"/>
    <x v="0"/>
    <x v="1"/>
    <x v="1"/>
    <x v="2"/>
  </r>
  <r>
    <s v="P214"/>
    <n v="21"/>
    <x v="1"/>
    <n v="28.5"/>
    <n v="95"/>
    <n v="78"/>
    <x v="1"/>
    <x v="1"/>
    <x v="1"/>
    <n v="4609.99"/>
    <x v="58"/>
    <d v="2025-09-03T00:00:00"/>
    <x v="0"/>
    <x v="0"/>
    <x v="0"/>
    <x v="0"/>
    <x v="0"/>
    <x v="12"/>
  </r>
  <r>
    <s v="P215"/>
    <n v="51"/>
    <x v="1"/>
    <n v="19.5"/>
    <n v="90"/>
    <n v="100"/>
    <x v="0"/>
    <x v="1"/>
    <x v="2"/>
    <n v="1968.91"/>
    <x v="156"/>
    <d v="2025-01-04T00:00:00"/>
    <x v="2"/>
    <x v="2"/>
    <x v="0"/>
    <x v="1"/>
    <x v="1"/>
    <x v="13"/>
  </r>
  <r>
    <s v="P216"/>
    <n v="88"/>
    <x v="1"/>
    <n v="21.5"/>
    <n v="158"/>
    <n v="120"/>
    <x v="1"/>
    <x v="1"/>
    <x v="4"/>
    <n v="4766.5600000000004"/>
    <x v="4"/>
    <d v="2025-04-30T00:00:00"/>
    <x v="0"/>
    <x v="4"/>
    <x v="0"/>
    <x v="0"/>
    <x v="1"/>
    <x v="0"/>
  </r>
  <r>
    <s v="P217"/>
    <n v="30"/>
    <x v="1"/>
    <n v="20.8"/>
    <n v="90"/>
    <n v="99"/>
    <x v="1"/>
    <x v="0"/>
    <x v="0"/>
    <n v="4225.24"/>
    <x v="157"/>
    <d v="2025-08-21T00:00:00"/>
    <x v="0"/>
    <x v="3"/>
    <x v="1"/>
    <x v="0"/>
    <x v="1"/>
    <x v="0"/>
  </r>
  <r>
    <s v="P218"/>
    <n v="36"/>
    <x v="1"/>
    <n v="38.6"/>
    <n v="141"/>
    <n v="77"/>
    <x v="1"/>
    <x v="0"/>
    <x v="1"/>
    <n v="3749.54"/>
    <x v="19"/>
    <d v="2025-10-05T00:00:00"/>
    <x v="0"/>
    <x v="1"/>
    <x v="1"/>
    <x v="0"/>
    <x v="1"/>
    <x v="10"/>
  </r>
  <r>
    <s v="P219"/>
    <n v="56"/>
    <x v="0"/>
    <n v="24"/>
    <n v="138"/>
    <n v="95"/>
    <x v="1"/>
    <x v="1"/>
    <x v="1"/>
    <n v="3382.65"/>
    <x v="158"/>
    <d v="2025-07-15T00:00:00"/>
    <x v="2"/>
    <x v="2"/>
    <x v="0"/>
    <x v="0"/>
    <x v="1"/>
    <x v="0"/>
  </r>
  <r>
    <s v="P220"/>
    <n v="90"/>
    <x v="1"/>
    <n v="29.8"/>
    <n v="137"/>
    <n v="78"/>
    <x v="1"/>
    <x v="1"/>
    <x v="1"/>
    <n v="2562.91"/>
    <x v="159"/>
    <d v="2025-08-13T00:00:00"/>
    <x v="1"/>
    <x v="4"/>
    <x v="0"/>
    <x v="0"/>
    <x v="1"/>
    <x v="5"/>
  </r>
  <r>
    <s v="P221"/>
    <n v="32"/>
    <x v="1"/>
    <n v="37"/>
    <n v="143"/>
    <n v="104"/>
    <x v="0"/>
    <x v="1"/>
    <x v="2"/>
    <n v="3692.23"/>
    <x v="12"/>
    <d v="2025-02-11T00:00:00"/>
    <x v="0"/>
    <x v="3"/>
    <x v="0"/>
    <x v="1"/>
    <x v="1"/>
    <x v="3"/>
  </r>
  <r>
    <s v="P222"/>
    <n v="18"/>
    <x v="0"/>
    <n v="35.4"/>
    <n v="117"/>
    <n v="113"/>
    <x v="0"/>
    <x v="0"/>
    <x v="3"/>
    <n v="3718.2"/>
    <x v="160"/>
    <d v="2025-01-27T00:00:00"/>
    <x v="1"/>
    <x v="0"/>
    <x v="0"/>
    <x v="0"/>
    <x v="1"/>
    <x v="7"/>
  </r>
  <r>
    <s v="P223"/>
    <n v="44"/>
    <x v="0"/>
    <n v="19"/>
    <n v="137"/>
    <n v="90"/>
    <x v="1"/>
    <x v="0"/>
    <x v="2"/>
    <n v="1886.66"/>
    <x v="161"/>
    <d v="2024-12-10T00:00:00"/>
    <x v="2"/>
    <x v="1"/>
    <x v="1"/>
    <x v="0"/>
    <x v="1"/>
    <x v="12"/>
  </r>
  <r>
    <s v="P224"/>
    <n v="54"/>
    <x v="0"/>
    <n v="32.700000000000003"/>
    <n v="97"/>
    <n v="70"/>
    <x v="0"/>
    <x v="0"/>
    <x v="0"/>
    <n v="2854.22"/>
    <x v="137"/>
    <d v="2025-09-15T00:00:00"/>
    <x v="2"/>
    <x v="2"/>
    <x v="0"/>
    <x v="0"/>
    <x v="0"/>
    <x v="3"/>
  </r>
  <r>
    <s v="P225"/>
    <n v="37"/>
    <x v="1"/>
    <n v="31.4"/>
    <n v="111"/>
    <n v="114"/>
    <x v="0"/>
    <x v="0"/>
    <x v="0"/>
    <n v="2335.2199999999998"/>
    <x v="42"/>
    <d v="2024-12-23T00:00:00"/>
    <x v="2"/>
    <x v="1"/>
    <x v="0"/>
    <x v="0"/>
    <x v="1"/>
    <x v="2"/>
  </r>
  <r>
    <s v="P226"/>
    <n v="75"/>
    <x v="1"/>
    <n v="32.299999999999997"/>
    <n v="152"/>
    <n v="81"/>
    <x v="1"/>
    <x v="1"/>
    <x v="4"/>
    <n v="1748.07"/>
    <x v="15"/>
    <d v="2025-05-12T00:00:00"/>
    <x v="0"/>
    <x v="4"/>
    <x v="0"/>
    <x v="0"/>
    <x v="1"/>
    <x v="13"/>
  </r>
  <r>
    <s v="P227"/>
    <n v="75"/>
    <x v="0"/>
    <n v="20"/>
    <n v="127"/>
    <n v="114"/>
    <x v="0"/>
    <x v="1"/>
    <x v="0"/>
    <n v="4543.1099999999997"/>
    <x v="162"/>
    <d v="2025-08-21T00:00:00"/>
    <x v="1"/>
    <x v="4"/>
    <x v="0"/>
    <x v="1"/>
    <x v="1"/>
    <x v="2"/>
  </r>
  <r>
    <s v="P228"/>
    <n v="29"/>
    <x v="0"/>
    <n v="31.7"/>
    <n v="135"/>
    <n v="82"/>
    <x v="1"/>
    <x v="1"/>
    <x v="0"/>
    <n v="2851.14"/>
    <x v="163"/>
    <d v="2025-01-08T00:00:00"/>
    <x v="0"/>
    <x v="3"/>
    <x v="0"/>
    <x v="0"/>
    <x v="1"/>
    <x v="8"/>
  </r>
  <r>
    <s v="P229"/>
    <n v="81"/>
    <x v="0"/>
    <n v="34.1"/>
    <n v="123"/>
    <n v="102"/>
    <x v="0"/>
    <x v="0"/>
    <x v="1"/>
    <n v="244.09"/>
    <x v="27"/>
    <d v="2025-01-16T00:00:00"/>
    <x v="2"/>
    <x v="4"/>
    <x v="0"/>
    <x v="0"/>
    <x v="1"/>
    <x v="13"/>
  </r>
  <r>
    <s v="P230"/>
    <n v="73"/>
    <x v="1"/>
    <n v="40"/>
    <n v="171"/>
    <n v="104"/>
    <x v="0"/>
    <x v="0"/>
    <x v="2"/>
    <n v="290.89999999999998"/>
    <x v="160"/>
    <d v="2025-01-29T00:00:00"/>
    <x v="0"/>
    <x v="4"/>
    <x v="0"/>
    <x v="0"/>
    <x v="1"/>
    <x v="4"/>
  </r>
  <r>
    <s v="P231"/>
    <n v="41"/>
    <x v="1"/>
    <n v="25.8"/>
    <n v="170"/>
    <n v="81"/>
    <x v="1"/>
    <x v="0"/>
    <x v="3"/>
    <n v="4015.56"/>
    <x v="164"/>
    <d v="2024-12-28T00:00:00"/>
    <x v="1"/>
    <x v="1"/>
    <x v="1"/>
    <x v="0"/>
    <x v="1"/>
    <x v="0"/>
  </r>
  <r>
    <s v="P232"/>
    <n v="49"/>
    <x v="0"/>
    <n v="22.6"/>
    <n v="117"/>
    <n v="97"/>
    <x v="0"/>
    <x v="1"/>
    <x v="2"/>
    <n v="2766.83"/>
    <x v="165"/>
    <d v="2025-03-06T00:00:00"/>
    <x v="0"/>
    <x v="1"/>
    <x v="0"/>
    <x v="1"/>
    <x v="1"/>
    <x v="13"/>
  </r>
  <r>
    <s v="P233"/>
    <n v="84"/>
    <x v="0"/>
    <n v="26.9"/>
    <n v="137"/>
    <n v="100"/>
    <x v="0"/>
    <x v="1"/>
    <x v="0"/>
    <n v="4453.88"/>
    <x v="166"/>
    <d v="2024-12-01T00:00:00"/>
    <x v="0"/>
    <x v="4"/>
    <x v="0"/>
    <x v="1"/>
    <x v="1"/>
    <x v="6"/>
  </r>
  <r>
    <s v="P234"/>
    <n v="70"/>
    <x v="1"/>
    <n v="32.299999999999997"/>
    <n v="154"/>
    <n v="114"/>
    <x v="0"/>
    <x v="0"/>
    <x v="2"/>
    <n v="447.93"/>
    <x v="167"/>
    <d v="2025-04-11T00:00:00"/>
    <x v="0"/>
    <x v="4"/>
    <x v="0"/>
    <x v="0"/>
    <x v="1"/>
    <x v="6"/>
  </r>
  <r>
    <s v="P235"/>
    <n v="87"/>
    <x v="0"/>
    <n v="34.9"/>
    <n v="136"/>
    <n v="111"/>
    <x v="0"/>
    <x v="1"/>
    <x v="1"/>
    <n v="835.34"/>
    <x v="166"/>
    <d v="2024-12-11T00:00:00"/>
    <x v="1"/>
    <x v="4"/>
    <x v="0"/>
    <x v="1"/>
    <x v="1"/>
    <x v="8"/>
  </r>
  <r>
    <s v="P236"/>
    <n v="34"/>
    <x v="1"/>
    <n v="27.7"/>
    <n v="142"/>
    <n v="94"/>
    <x v="1"/>
    <x v="0"/>
    <x v="2"/>
    <n v="2442.31"/>
    <x v="168"/>
    <d v="2024-11-18T00:00:00"/>
    <x v="0"/>
    <x v="3"/>
    <x v="1"/>
    <x v="0"/>
    <x v="1"/>
    <x v="13"/>
  </r>
  <r>
    <s v="P237"/>
    <n v="25"/>
    <x v="0"/>
    <n v="31.1"/>
    <n v="153"/>
    <n v="92"/>
    <x v="0"/>
    <x v="1"/>
    <x v="2"/>
    <n v="1392.05"/>
    <x v="20"/>
    <d v="2024-11-04T00:00:00"/>
    <x v="0"/>
    <x v="3"/>
    <x v="0"/>
    <x v="1"/>
    <x v="1"/>
    <x v="7"/>
  </r>
  <r>
    <s v="P238"/>
    <n v="81"/>
    <x v="0"/>
    <n v="20.6"/>
    <n v="133"/>
    <n v="67"/>
    <x v="1"/>
    <x v="0"/>
    <x v="0"/>
    <n v="2558.83"/>
    <x v="14"/>
    <d v="2024-11-10T00:00:00"/>
    <x v="1"/>
    <x v="4"/>
    <x v="1"/>
    <x v="0"/>
    <x v="1"/>
    <x v="4"/>
  </r>
  <r>
    <s v="P239"/>
    <n v="77"/>
    <x v="0"/>
    <n v="28.6"/>
    <n v="164"/>
    <n v="93"/>
    <x v="0"/>
    <x v="0"/>
    <x v="0"/>
    <n v="3999.55"/>
    <x v="169"/>
    <d v="2025-02-24T00:00:00"/>
    <x v="2"/>
    <x v="4"/>
    <x v="0"/>
    <x v="0"/>
    <x v="1"/>
    <x v="3"/>
  </r>
  <r>
    <s v="P240"/>
    <n v="80"/>
    <x v="1"/>
    <n v="28.9"/>
    <n v="146"/>
    <n v="70"/>
    <x v="0"/>
    <x v="1"/>
    <x v="1"/>
    <n v="1939.9"/>
    <x v="36"/>
    <d v="2025-07-03T00:00:00"/>
    <x v="1"/>
    <x v="4"/>
    <x v="0"/>
    <x v="1"/>
    <x v="1"/>
    <x v="7"/>
  </r>
  <r>
    <s v="P241"/>
    <n v="62"/>
    <x v="1"/>
    <n v="26.5"/>
    <n v="146"/>
    <n v="67"/>
    <x v="0"/>
    <x v="0"/>
    <x v="1"/>
    <n v="4680.66"/>
    <x v="170"/>
    <d v="2025-03-28T00:00:00"/>
    <x v="1"/>
    <x v="2"/>
    <x v="0"/>
    <x v="0"/>
    <x v="1"/>
    <x v="2"/>
  </r>
  <r>
    <s v="P242"/>
    <n v="45"/>
    <x v="0"/>
    <n v="25.1"/>
    <n v="120"/>
    <n v="106"/>
    <x v="0"/>
    <x v="0"/>
    <x v="1"/>
    <n v="3639.08"/>
    <x v="171"/>
    <d v="2025-03-20T00:00:00"/>
    <x v="0"/>
    <x v="1"/>
    <x v="0"/>
    <x v="0"/>
    <x v="1"/>
    <x v="4"/>
  </r>
  <r>
    <s v="P243"/>
    <n v="67"/>
    <x v="0"/>
    <n v="29.1"/>
    <n v="167"/>
    <n v="107"/>
    <x v="1"/>
    <x v="1"/>
    <x v="0"/>
    <n v="173.64"/>
    <x v="127"/>
    <d v="2025-10-01T00:00:00"/>
    <x v="1"/>
    <x v="4"/>
    <x v="0"/>
    <x v="0"/>
    <x v="1"/>
    <x v="1"/>
  </r>
  <r>
    <s v="P244"/>
    <n v="18"/>
    <x v="0"/>
    <n v="23"/>
    <n v="120"/>
    <n v="115"/>
    <x v="1"/>
    <x v="1"/>
    <x v="0"/>
    <n v="2108.12"/>
    <x v="172"/>
    <d v="2025-02-24T00:00:00"/>
    <x v="0"/>
    <x v="0"/>
    <x v="0"/>
    <x v="0"/>
    <x v="1"/>
    <x v="0"/>
  </r>
  <r>
    <s v="P245"/>
    <n v="57"/>
    <x v="1"/>
    <n v="29.1"/>
    <n v="134"/>
    <n v="84"/>
    <x v="1"/>
    <x v="1"/>
    <x v="1"/>
    <n v="4292.91"/>
    <x v="173"/>
    <d v="2025-05-29T00:00:00"/>
    <x v="2"/>
    <x v="2"/>
    <x v="0"/>
    <x v="0"/>
    <x v="1"/>
    <x v="3"/>
  </r>
  <r>
    <s v="P246"/>
    <n v="35"/>
    <x v="1"/>
    <n v="22.6"/>
    <n v="120"/>
    <n v="63"/>
    <x v="0"/>
    <x v="1"/>
    <x v="0"/>
    <n v="4173.25"/>
    <x v="174"/>
    <d v="2025-05-08T00:00:00"/>
    <x v="0"/>
    <x v="3"/>
    <x v="0"/>
    <x v="1"/>
    <x v="0"/>
    <x v="8"/>
  </r>
  <r>
    <s v="P247"/>
    <n v="61"/>
    <x v="1"/>
    <n v="21.8"/>
    <n v="137"/>
    <n v="109"/>
    <x v="1"/>
    <x v="0"/>
    <x v="0"/>
    <n v="1422.86"/>
    <x v="175"/>
    <d v="2024-11-07T00:00:00"/>
    <x v="0"/>
    <x v="2"/>
    <x v="1"/>
    <x v="0"/>
    <x v="1"/>
    <x v="11"/>
  </r>
  <r>
    <s v="P248"/>
    <n v="19"/>
    <x v="0"/>
    <n v="20.100000000000001"/>
    <n v="101"/>
    <n v="98"/>
    <x v="1"/>
    <x v="0"/>
    <x v="2"/>
    <n v="1545.5"/>
    <x v="176"/>
    <d v="2025-08-03T00:00:00"/>
    <x v="2"/>
    <x v="0"/>
    <x v="1"/>
    <x v="0"/>
    <x v="1"/>
    <x v="0"/>
  </r>
  <r>
    <s v="P249"/>
    <n v="54"/>
    <x v="1"/>
    <n v="20.399999999999999"/>
    <n v="95"/>
    <n v="79"/>
    <x v="0"/>
    <x v="0"/>
    <x v="4"/>
    <n v="1213.96"/>
    <x v="177"/>
    <d v="2025-05-28T00:00:00"/>
    <x v="2"/>
    <x v="2"/>
    <x v="0"/>
    <x v="0"/>
    <x v="0"/>
    <x v="4"/>
  </r>
  <r>
    <s v="P250"/>
    <n v="24"/>
    <x v="0"/>
    <n v="20.9"/>
    <n v="90"/>
    <n v="98"/>
    <x v="1"/>
    <x v="0"/>
    <x v="1"/>
    <n v="2094.36"/>
    <x v="88"/>
    <d v="2025-08-13T00:00:00"/>
    <x v="1"/>
    <x v="0"/>
    <x v="1"/>
    <x v="0"/>
    <x v="1"/>
    <x v="8"/>
  </r>
  <r>
    <s v="P251"/>
    <n v="41"/>
    <x v="1"/>
    <n v="27.8"/>
    <n v="134"/>
    <n v="61"/>
    <x v="0"/>
    <x v="1"/>
    <x v="3"/>
    <n v="3853.25"/>
    <x v="178"/>
    <d v="2024-12-12T00:00:00"/>
    <x v="2"/>
    <x v="1"/>
    <x v="0"/>
    <x v="1"/>
    <x v="1"/>
    <x v="11"/>
  </r>
  <r>
    <s v="P252"/>
    <n v="57"/>
    <x v="0"/>
    <n v="37"/>
    <n v="169"/>
    <n v="60"/>
    <x v="0"/>
    <x v="1"/>
    <x v="3"/>
    <n v="2644.7"/>
    <x v="179"/>
    <d v="2024-11-22T00:00:00"/>
    <x v="0"/>
    <x v="2"/>
    <x v="0"/>
    <x v="1"/>
    <x v="1"/>
    <x v="4"/>
  </r>
  <r>
    <s v="P253"/>
    <n v="38"/>
    <x v="1"/>
    <n v="38.799999999999997"/>
    <n v="124"/>
    <n v="111"/>
    <x v="1"/>
    <x v="1"/>
    <x v="4"/>
    <n v="221.74"/>
    <x v="84"/>
    <d v="2025-05-18T00:00:00"/>
    <x v="1"/>
    <x v="1"/>
    <x v="0"/>
    <x v="0"/>
    <x v="1"/>
    <x v="10"/>
  </r>
  <r>
    <s v="P254"/>
    <n v="53"/>
    <x v="1"/>
    <n v="37.700000000000003"/>
    <n v="99"/>
    <n v="65"/>
    <x v="1"/>
    <x v="0"/>
    <x v="4"/>
    <n v="3573.28"/>
    <x v="180"/>
    <d v="2025-03-16T00:00:00"/>
    <x v="1"/>
    <x v="2"/>
    <x v="1"/>
    <x v="0"/>
    <x v="0"/>
    <x v="11"/>
  </r>
  <r>
    <s v="P255"/>
    <n v="70"/>
    <x v="0"/>
    <n v="24.2"/>
    <n v="91"/>
    <n v="73"/>
    <x v="0"/>
    <x v="1"/>
    <x v="4"/>
    <n v="1776.72"/>
    <x v="181"/>
    <d v="2025-09-21T00:00:00"/>
    <x v="1"/>
    <x v="4"/>
    <x v="0"/>
    <x v="1"/>
    <x v="0"/>
    <x v="7"/>
  </r>
  <r>
    <s v="P256"/>
    <n v="64"/>
    <x v="1"/>
    <n v="30.4"/>
    <n v="126"/>
    <n v="100"/>
    <x v="1"/>
    <x v="0"/>
    <x v="0"/>
    <n v="251.76"/>
    <x v="182"/>
    <d v="2025-07-29T00:00:00"/>
    <x v="2"/>
    <x v="2"/>
    <x v="1"/>
    <x v="0"/>
    <x v="1"/>
    <x v="10"/>
  </r>
  <r>
    <s v="P257"/>
    <n v="79"/>
    <x v="0"/>
    <n v="22.5"/>
    <n v="132"/>
    <n v="103"/>
    <x v="0"/>
    <x v="0"/>
    <x v="4"/>
    <n v="2225.5100000000002"/>
    <x v="183"/>
    <d v="2025-04-17T00:00:00"/>
    <x v="0"/>
    <x v="4"/>
    <x v="0"/>
    <x v="0"/>
    <x v="1"/>
    <x v="6"/>
  </r>
  <r>
    <s v="P258"/>
    <n v="73"/>
    <x v="1"/>
    <n v="19.5"/>
    <n v="98"/>
    <n v="110"/>
    <x v="1"/>
    <x v="1"/>
    <x v="1"/>
    <n v="808.01"/>
    <x v="131"/>
    <d v="2025-03-28T00:00:00"/>
    <x v="1"/>
    <x v="4"/>
    <x v="0"/>
    <x v="0"/>
    <x v="1"/>
    <x v="7"/>
  </r>
  <r>
    <s v="P259"/>
    <n v="50"/>
    <x v="1"/>
    <n v="22.5"/>
    <n v="132"/>
    <n v="76"/>
    <x v="0"/>
    <x v="0"/>
    <x v="4"/>
    <n v="2771.98"/>
    <x v="184"/>
    <d v="2025-10-12T00:00:00"/>
    <x v="2"/>
    <x v="1"/>
    <x v="0"/>
    <x v="0"/>
    <x v="1"/>
    <x v="3"/>
  </r>
  <r>
    <s v="P260"/>
    <n v="32"/>
    <x v="1"/>
    <n v="25.7"/>
    <n v="130"/>
    <n v="81"/>
    <x v="0"/>
    <x v="0"/>
    <x v="3"/>
    <n v="2201.21"/>
    <x v="84"/>
    <d v="2025-05-21T00:00:00"/>
    <x v="1"/>
    <x v="3"/>
    <x v="0"/>
    <x v="0"/>
    <x v="1"/>
    <x v="2"/>
  </r>
  <r>
    <s v="P261"/>
    <n v="45"/>
    <x v="1"/>
    <n v="39.6"/>
    <n v="134"/>
    <n v="114"/>
    <x v="1"/>
    <x v="1"/>
    <x v="1"/>
    <n v="1408.84"/>
    <x v="185"/>
    <d v="2025-01-27T00:00:00"/>
    <x v="1"/>
    <x v="1"/>
    <x v="0"/>
    <x v="0"/>
    <x v="1"/>
    <x v="1"/>
  </r>
  <r>
    <s v="P262"/>
    <n v="66"/>
    <x v="0"/>
    <n v="36.200000000000003"/>
    <n v="99"/>
    <n v="103"/>
    <x v="0"/>
    <x v="0"/>
    <x v="2"/>
    <n v="2583.6"/>
    <x v="8"/>
    <d v="2024-12-27T00:00:00"/>
    <x v="2"/>
    <x v="4"/>
    <x v="0"/>
    <x v="0"/>
    <x v="1"/>
    <x v="3"/>
  </r>
  <r>
    <s v="P263"/>
    <n v="78"/>
    <x v="0"/>
    <n v="23.9"/>
    <n v="131"/>
    <n v="93"/>
    <x v="0"/>
    <x v="0"/>
    <x v="2"/>
    <n v="3907.12"/>
    <x v="186"/>
    <d v="2024-10-28T00:00:00"/>
    <x v="0"/>
    <x v="4"/>
    <x v="0"/>
    <x v="0"/>
    <x v="1"/>
    <x v="7"/>
  </r>
  <r>
    <s v="P264"/>
    <n v="76"/>
    <x v="1"/>
    <n v="33.1"/>
    <n v="100"/>
    <n v="88"/>
    <x v="0"/>
    <x v="1"/>
    <x v="3"/>
    <n v="2622.16"/>
    <x v="187"/>
    <d v="2024-12-15T00:00:00"/>
    <x v="1"/>
    <x v="4"/>
    <x v="0"/>
    <x v="1"/>
    <x v="0"/>
    <x v="2"/>
  </r>
  <r>
    <s v="P265"/>
    <n v="45"/>
    <x v="1"/>
    <n v="18.399999999999999"/>
    <n v="123"/>
    <n v="65"/>
    <x v="0"/>
    <x v="1"/>
    <x v="3"/>
    <n v="1621.33"/>
    <x v="188"/>
    <d v="2025-01-19T00:00:00"/>
    <x v="0"/>
    <x v="1"/>
    <x v="0"/>
    <x v="1"/>
    <x v="0"/>
    <x v="5"/>
  </r>
  <r>
    <s v="P266"/>
    <n v="83"/>
    <x v="0"/>
    <n v="34.799999999999997"/>
    <n v="101"/>
    <n v="106"/>
    <x v="1"/>
    <x v="1"/>
    <x v="4"/>
    <n v="1520.12"/>
    <x v="189"/>
    <d v="2025-02-14T00:00:00"/>
    <x v="1"/>
    <x v="4"/>
    <x v="0"/>
    <x v="0"/>
    <x v="1"/>
    <x v="2"/>
  </r>
  <r>
    <s v="P267"/>
    <n v="73"/>
    <x v="1"/>
    <n v="28.9"/>
    <n v="170"/>
    <n v="111"/>
    <x v="0"/>
    <x v="0"/>
    <x v="4"/>
    <n v="3583.22"/>
    <x v="190"/>
    <d v="2024-12-30T00:00:00"/>
    <x v="1"/>
    <x v="4"/>
    <x v="0"/>
    <x v="0"/>
    <x v="1"/>
    <x v="2"/>
  </r>
  <r>
    <s v="P268"/>
    <n v="56"/>
    <x v="0"/>
    <n v="25.7"/>
    <n v="116"/>
    <n v="64"/>
    <x v="1"/>
    <x v="1"/>
    <x v="3"/>
    <n v="3725.46"/>
    <x v="178"/>
    <d v="2024-12-07T00:00:00"/>
    <x v="0"/>
    <x v="2"/>
    <x v="0"/>
    <x v="0"/>
    <x v="0"/>
    <x v="2"/>
  </r>
  <r>
    <s v="P269"/>
    <n v="21"/>
    <x v="1"/>
    <n v="34.700000000000003"/>
    <n v="147"/>
    <n v="115"/>
    <x v="0"/>
    <x v="0"/>
    <x v="1"/>
    <n v="461.21"/>
    <x v="39"/>
    <d v="2025-06-24T00:00:00"/>
    <x v="1"/>
    <x v="0"/>
    <x v="0"/>
    <x v="0"/>
    <x v="1"/>
    <x v="9"/>
  </r>
  <r>
    <s v="P270"/>
    <n v="53"/>
    <x v="0"/>
    <n v="21.5"/>
    <n v="91"/>
    <n v="109"/>
    <x v="1"/>
    <x v="0"/>
    <x v="1"/>
    <n v="4779.09"/>
    <x v="191"/>
    <d v="2025-08-10T00:00:00"/>
    <x v="0"/>
    <x v="2"/>
    <x v="1"/>
    <x v="0"/>
    <x v="1"/>
    <x v="9"/>
  </r>
  <r>
    <s v="P271"/>
    <n v="77"/>
    <x v="1"/>
    <n v="23.5"/>
    <n v="178"/>
    <n v="109"/>
    <x v="1"/>
    <x v="1"/>
    <x v="0"/>
    <n v="3419.19"/>
    <x v="176"/>
    <d v="2025-07-29T00:00:00"/>
    <x v="2"/>
    <x v="4"/>
    <x v="0"/>
    <x v="0"/>
    <x v="1"/>
    <x v="5"/>
  </r>
  <r>
    <s v="P272"/>
    <n v="52"/>
    <x v="0"/>
    <n v="26.7"/>
    <n v="176"/>
    <n v="70"/>
    <x v="1"/>
    <x v="1"/>
    <x v="1"/>
    <n v="2301.9"/>
    <x v="192"/>
    <d v="2025-06-08T00:00:00"/>
    <x v="0"/>
    <x v="2"/>
    <x v="0"/>
    <x v="0"/>
    <x v="1"/>
    <x v="9"/>
  </r>
  <r>
    <s v="P273"/>
    <n v="26"/>
    <x v="1"/>
    <n v="38.5"/>
    <n v="103"/>
    <n v="72"/>
    <x v="1"/>
    <x v="1"/>
    <x v="1"/>
    <n v="3656.63"/>
    <x v="193"/>
    <d v="2025-01-31T00:00:00"/>
    <x v="1"/>
    <x v="3"/>
    <x v="0"/>
    <x v="0"/>
    <x v="0"/>
    <x v="4"/>
  </r>
  <r>
    <s v="P274"/>
    <n v="26"/>
    <x v="0"/>
    <n v="21.3"/>
    <n v="168"/>
    <n v="101"/>
    <x v="0"/>
    <x v="0"/>
    <x v="0"/>
    <n v="1275.03"/>
    <x v="47"/>
    <d v="2025-01-05T00:00:00"/>
    <x v="0"/>
    <x v="3"/>
    <x v="0"/>
    <x v="0"/>
    <x v="1"/>
    <x v="0"/>
  </r>
  <r>
    <s v="P275"/>
    <n v="46"/>
    <x v="0"/>
    <n v="21.9"/>
    <n v="164"/>
    <n v="118"/>
    <x v="1"/>
    <x v="0"/>
    <x v="3"/>
    <n v="4777.79"/>
    <x v="81"/>
    <d v="2025-01-25T00:00:00"/>
    <x v="0"/>
    <x v="1"/>
    <x v="1"/>
    <x v="0"/>
    <x v="1"/>
    <x v="0"/>
  </r>
  <r>
    <s v="P276"/>
    <n v="69"/>
    <x v="0"/>
    <n v="35"/>
    <n v="135"/>
    <n v="91"/>
    <x v="1"/>
    <x v="0"/>
    <x v="0"/>
    <n v="2735.92"/>
    <x v="194"/>
    <d v="2025-02-01T00:00:00"/>
    <x v="2"/>
    <x v="4"/>
    <x v="1"/>
    <x v="0"/>
    <x v="1"/>
    <x v="13"/>
  </r>
  <r>
    <s v="P277"/>
    <n v="24"/>
    <x v="0"/>
    <n v="28.8"/>
    <n v="160"/>
    <n v="84"/>
    <x v="0"/>
    <x v="1"/>
    <x v="2"/>
    <n v="4244.78"/>
    <x v="195"/>
    <d v="2024-12-10T00:00:00"/>
    <x v="0"/>
    <x v="0"/>
    <x v="0"/>
    <x v="1"/>
    <x v="1"/>
    <x v="10"/>
  </r>
  <r>
    <s v="P278"/>
    <n v="29"/>
    <x v="0"/>
    <n v="33.9"/>
    <n v="173"/>
    <n v="61"/>
    <x v="0"/>
    <x v="1"/>
    <x v="0"/>
    <n v="454.99"/>
    <x v="50"/>
    <d v="2024-11-16T00:00:00"/>
    <x v="2"/>
    <x v="3"/>
    <x v="0"/>
    <x v="1"/>
    <x v="1"/>
    <x v="13"/>
  </r>
  <r>
    <s v="P279"/>
    <n v="77"/>
    <x v="1"/>
    <n v="20.9"/>
    <n v="128"/>
    <n v="120"/>
    <x v="0"/>
    <x v="1"/>
    <x v="0"/>
    <n v="1204.3499999999999"/>
    <x v="196"/>
    <d v="2025-08-03T00:00:00"/>
    <x v="2"/>
    <x v="4"/>
    <x v="0"/>
    <x v="1"/>
    <x v="1"/>
    <x v="4"/>
  </r>
  <r>
    <s v="P280"/>
    <n v="61"/>
    <x v="1"/>
    <n v="35.6"/>
    <n v="121"/>
    <n v="86"/>
    <x v="1"/>
    <x v="0"/>
    <x v="2"/>
    <n v="365.12"/>
    <x v="197"/>
    <d v="2025-07-27T00:00:00"/>
    <x v="2"/>
    <x v="2"/>
    <x v="1"/>
    <x v="0"/>
    <x v="0"/>
    <x v="9"/>
  </r>
  <r>
    <s v="P281"/>
    <n v="44"/>
    <x v="0"/>
    <n v="37.299999999999997"/>
    <n v="171"/>
    <n v="72"/>
    <x v="1"/>
    <x v="1"/>
    <x v="0"/>
    <n v="4349.8900000000003"/>
    <x v="92"/>
    <d v="2025-05-15T00:00:00"/>
    <x v="2"/>
    <x v="1"/>
    <x v="0"/>
    <x v="0"/>
    <x v="1"/>
    <x v="1"/>
  </r>
  <r>
    <s v="P282"/>
    <n v="38"/>
    <x v="0"/>
    <n v="30.4"/>
    <n v="102"/>
    <n v="93"/>
    <x v="0"/>
    <x v="0"/>
    <x v="0"/>
    <n v="2675.07"/>
    <x v="77"/>
    <d v="2025-05-24T00:00:00"/>
    <x v="0"/>
    <x v="1"/>
    <x v="0"/>
    <x v="0"/>
    <x v="1"/>
    <x v="1"/>
  </r>
  <r>
    <s v="P283"/>
    <n v="75"/>
    <x v="0"/>
    <n v="38.5"/>
    <n v="136"/>
    <n v="85"/>
    <x v="1"/>
    <x v="0"/>
    <x v="3"/>
    <n v="2427.87"/>
    <x v="21"/>
    <d v="2025-08-23T00:00:00"/>
    <x v="2"/>
    <x v="4"/>
    <x v="1"/>
    <x v="0"/>
    <x v="1"/>
    <x v="5"/>
  </r>
  <r>
    <s v="P284"/>
    <n v="69"/>
    <x v="1"/>
    <n v="39.4"/>
    <n v="93"/>
    <n v="60"/>
    <x v="1"/>
    <x v="1"/>
    <x v="3"/>
    <n v="448.74"/>
    <x v="108"/>
    <d v="2025-09-11T00:00:00"/>
    <x v="0"/>
    <x v="4"/>
    <x v="0"/>
    <x v="0"/>
    <x v="0"/>
    <x v="2"/>
  </r>
  <r>
    <s v="P285"/>
    <n v="42"/>
    <x v="1"/>
    <n v="18"/>
    <n v="104"/>
    <n v="98"/>
    <x v="1"/>
    <x v="1"/>
    <x v="0"/>
    <n v="4718.8"/>
    <x v="178"/>
    <d v="2024-12-10T00:00:00"/>
    <x v="1"/>
    <x v="1"/>
    <x v="0"/>
    <x v="0"/>
    <x v="1"/>
    <x v="8"/>
  </r>
  <r>
    <s v="P286"/>
    <n v="40"/>
    <x v="1"/>
    <n v="28.5"/>
    <n v="180"/>
    <n v="63"/>
    <x v="0"/>
    <x v="1"/>
    <x v="3"/>
    <n v="3591.69"/>
    <x v="155"/>
    <d v="2025-06-18T00:00:00"/>
    <x v="0"/>
    <x v="1"/>
    <x v="0"/>
    <x v="1"/>
    <x v="1"/>
    <x v="1"/>
  </r>
  <r>
    <s v="P287"/>
    <n v="42"/>
    <x v="0"/>
    <n v="18.2"/>
    <n v="96"/>
    <n v="110"/>
    <x v="0"/>
    <x v="0"/>
    <x v="2"/>
    <n v="4663.99"/>
    <x v="198"/>
    <d v="2025-07-28T00:00:00"/>
    <x v="1"/>
    <x v="1"/>
    <x v="0"/>
    <x v="0"/>
    <x v="1"/>
    <x v="13"/>
  </r>
  <r>
    <s v="P288"/>
    <n v="49"/>
    <x v="1"/>
    <n v="38.799999999999997"/>
    <n v="164"/>
    <n v="88"/>
    <x v="1"/>
    <x v="0"/>
    <x v="0"/>
    <n v="810.19"/>
    <x v="199"/>
    <d v="2024-11-02T00:00:00"/>
    <x v="1"/>
    <x v="1"/>
    <x v="1"/>
    <x v="0"/>
    <x v="1"/>
    <x v="11"/>
  </r>
  <r>
    <s v="P289"/>
    <n v="81"/>
    <x v="0"/>
    <n v="26.2"/>
    <n v="97"/>
    <n v="88"/>
    <x v="0"/>
    <x v="1"/>
    <x v="2"/>
    <n v="2910.52"/>
    <x v="200"/>
    <d v="2025-04-29T00:00:00"/>
    <x v="0"/>
    <x v="4"/>
    <x v="0"/>
    <x v="1"/>
    <x v="0"/>
    <x v="12"/>
  </r>
  <r>
    <s v="P290"/>
    <n v="18"/>
    <x v="0"/>
    <n v="32.200000000000003"/>
    <n v="162"/>
    <n v="108"/>
    <x v="1"/>
    <x v="0"/>
    <x v="3"/>
    <n v="3814.2"/>
    <x v="201"/>
    <d v="2024-10-09T00:00:00"/>
    <x v="1"/>
    <x v="0"/>
    <x v="1"/>
    <x v="0"/>
    <x v="1"/>
    <x v="10"/>
  </r>
  <r>
    <s v="P291"/>
    <n v="47"/>
    <x v="0"/>
    <n v="34.299999999999997"/>
    <n v="90"/>
    <n v="116"/>
    <x v="0"/>
    <x v="1"/>
    <x v="2"/>
    <n v="3461.13"/>
    <x v="37"/>
    <d v="2025-08-02T00:00:00"/>
    <x v="1"/>
    <x v="1"/>
    <x v="0"/>
    <x v="1"/>
    <x v="1"/>
    <x v="4"/>
  </r>
  <r>
    <s v="P292"/>
    <n v="32"/>
    <x v="1"/>
    <n v="33.9"/>
    <n v="148"/>
    <n v="108"/>
    <x v="0"/>
    <x v="0"/>
    <x v="2"/>
    <n v="2098.7800000000002"/>
    <x v="140"/>
    <d v="2025-07-27T00:00:00"/>
    <x v="0"/>
    <x v="3"/>
    <x v="0"/>
    <x v="0"/>
    <x v="1"/>
    <x v="4"/>
  </r>
  <r>
    <s v="P293"/>
    <n v="63"/>
    <x v="1"/>
    <n v="22.9"/>
    <n v="94"/>
    <n v="100"/>
    <x v="1"/>
    <x v="1"/>
    <x v="2"/>
    <n v="4228.7700000000004"/>
    <x v="202"/>
    <d v="2025-01-24T00:00:00"/>
    <x v="1"/>
    <x v="2"/>
    <x v="0"/>
    <x v="0"/>
    <x v="1"/>
    <x v="2"/>
  </r>
  <r>
    <s v="P294"/>
    <n v="49"/>
    <x v="0"/>
    <n v="34.200000000000003"/>
    <n v="146"/>
    <n v="75"/>
    <x v="1"/>
    <x v="1"/>
    <x v="1"/>
    <n v="1704.61"/>
    <x v="203"/>
    <d v="2025-02-22T00:00:00"/>
    <x v="0"/>
    <x v="1"/>
    <x v="0"/>
    <x v="0"/>
    <x v="1"/>
    <x v="11"/>
  </r>
  <r>
    <s v="P295"/>
    <n v="35"/>
    <x v="0"/>
    <n v="23.4"/>
    <n v="140"/>
    <n v="114"/>
    <x v="0"/>
    <x v="0"/>
    <x v="0"/>
    <n v="3517.89"/>
    <x v="204"/>
    <d v="2025-04-29T00:00:00"/>
    <x v="0"/>
    <x v="3"/>
    <x v="0"/>
    <x v="0"/>
    <x v="1"/>
    <x v="10"/>
  </r>
  <r>
    <s v="P296"/>
    <n v="32"/>
    <x v="0"/>
    <n v="39.799999999999997"/>
    <n v="153"/>
    <n v="112"/>
    <x v="0"/>
    <x v="1"/>
    <x v="1"/>
    <n v="2073.08"/>
    <x v="205"/>
    <d v="2024-10-31T00:00:00"/>
    <x v="0"/>
    <x v="3"/>
    <x v="0"/>
    <x v="1"/>
    <x v="1"/>
    <x v="1"/>
  </r>
  <r>
    <s v="P297"/>
    <n v="45"/>
    <x v="0"/>
    <n v="24"/>
    <n v="177"/>
    <n v="66"/>
    <x v="0"/>
    <x v="1"/>
    <x v="4"/>
    <n v="2452.1999999999998"/>
    <x v="144"/>
    <d v="2025-05-23T00:00:00"/>
    <x v="1"/>
    <x v="1"/>
    <x v="0"/>
    <x v="1"/>
    <x v="1"/>
    <x v="11"/>
  </r>
  <r>
    <s v="P298"/>
    <n v="26"/>
    <x v="1"/>
    <n v="23.2"/>
    <n v="96"/>
    <n v="71"/>
    <x v="0"/>
    <x v="0"/>
    <x v="1"/>
    <n v="1113.8"/>
    <x v="150"/>
    <d v="2025-02-02T00:00:00"/>
    <x v="1"/>
    <x v="3"/>
    <x v="0"/>
    <x v="0"/>
    <x v="0"/>
    <x v="7"/>
  </r>
  <r>
    <s v="P299"/>
    <n v="42"/>
    <x v="1"/>
    <n v="27"/>
    <n v="122"/>
    <n v="60"/>
    <x v="1"/>
    <x v="1"/>
    <x v="2"/>
    <n v="2479.1999999999998"/>
    <x v="168"/>
    <d v="2024-11-13T00:00:00"/>
    <x v="0"/>
    <x v="1"/>
    <x v="0"/>
    <x v="0"/>
    <x v="0"/>
    <x v="10"/>
  </r>
  <r>
    <s v="P300"/>
    <n v="23"/>
    <x v="1"/>
    <n v="25"/>
    <n v="153"/>
    <n v="101"/>
    <x v="0"/>
    <x v="1"/>
    <x v="0"/>
    <n v="3883.4"/>
    <x v="206"/>
    <d v="2025-09-21T00:00:00"/>
    <x v="2"/>
    <x v="0"/>
    <x v="0"/>
    <x v="1"/>
    <x v="1"/>
    <x v="8"/>
  </r>
  <r>
    <s v="P301"/>
    <n v="18"/>
    <x v="1"/>
    <n v="29.9"/>
    <n v="122"/>
    <n v="60"/>
    <x v="1"/>
    <x v="0"/>
    <x v="0"/>
    <n v="2548.02"/>
    <x v="39"/>
    <d v="2025-06-28T00:00:00"/>
    <x v="0"/>
    <x v="0"/>
    <x v="1"/>
    <x v="0"/>
    <x v="0"/>
    <x v="4"/>
  </r>
  <r>
    <s v="P302"/>
    <n v="25"/>
    <x v="1"/>
    <n v="23.7"/>
    <n v="122"/>
    <n v="96"/>
    <x v="1"/>
    <x v="0"/>
    <x v="1"/>
    <n v="2435.35"/>
    <x v="207"/>
    <d v="2025-05-21T00:00:00"/>
    <x v="1"/>
    <x v="3"/>
    <x v="1"/>
    <x v="0"/>
    <x v="1"/>
    <x v="1"/>
  </r>
  <r>
    <s v="P303"/>
    <n v="43"/>
    <x v="0"/>
    <n v="24.1"/>
    <n v="118"/>
    <n v="92"/>
    <x v="0"/>
    <x v="0"/>
    <x v="3"/>
    <n v="667.76"/>
    <x v="208"/>
    <d v="2025-06-10T00:00:00"/>
    <x v="0"/>
    <x v="1"/>
    <x v="0"/>
    <x v="0"/>
    <x v="1"/>
    <x v="4"/>
  </r>
  <r>
    <s v="P304"/>
    <n v="63"/>
    <x v="1"/>
    <n v="29.7"/>
    <n v="167"/>
    <n v="117"/>
    <x v="1"/>
    <x v="1"/>
    <x v="4"/>
    <n v="1541.49"/>
    <x v="209"/>
    <d v="2025-04-13T00:00:00"/>
    <x v="1"/>
    <x v="2"/>
    <x v="0"/>
    <x v="0"/>
    <x v="1"/>
    <x v="8"/>
  </r>
  <r>
    <s v="P305"/>
    <n v="68"/>
    <x v="0"/>
    <n v="30.9"/>
    <n v="102"/>
    <n v="117"/>
    <x v="1"/>
    <x v="0"/>
    <x v="4"/>
    <n v="188.8"/>
    <x v="210"/>
    <d v="2024-10-28T00:00:00"/>
    <x v="1"/>
    <x v="4"/>
    <x v="1"/>
    <x v="0"/>
    <x v="1"/>
    <x v="5"/>
  </r>
  <r>
    <s v="P306"/>
    <n v="70"/>
    <x v="0"/>
    <n v="35.5"/>
    <n v="150"/>
    <n v="65"/>
    <x v="0"/>
    <x v="1"/>
    <x v="4"/>
    <n v="740.83"/>
    <x v="22"/>
    <d v="2025-09-11T00:00:00"/>
    <x v="0"/>
    <x v="4"/>
    <x v="0"/>
    <x v="1"/>
    <x v="1"/>
    <x v="0"/>
  </r>
  <r>
    <s v="P307"/>
    <n v="78"/>
    <x v="0"/>
    <n v="18.3"/>
    <n v="165"/>
    <n v="70"/>
    <x v="0"/>
    <x v="1"/>
    <x v="2"/>
    <n v="2938.09"/>
    <x v="211"/>
    <d v="2025-05-08T00:00:00"/>
    <x v="2"/>
    <x v="4"/>
    <x v="0"/>
    <x v="1"/>
    <x v="1"/>
    <x v="1"/>
  </r>
  <r>
    <s v="P308"/>
    <n v="43"/>
    <x v="1"/>
    <n v="29.9"/>
    <n v="129"/>
    <n v="86"/>
    <x v="1"/>
    <x v="0"/>
    <x v="0"/>
    <n v="4518.26"/>
    <x v="86"/>
    <d v="2025-07-04T00:00:00"/>
    <x v="0"/>
    <x v="1"/>
    <x v="1"/>
    <x v="0"/>
    <x v="1"/>
    <x v="9"/>
  </r>
  <r>
    <s v="P309"/>
    <n v="27"/>
    <x v="1"/>
    <n v="22"/>
    <n v="152"/>
    <n v="62"/>
    <x v="0"/>
    <x v="1"/>
    <x v="1"/>
    <n v="2938.47"/>
    <x v="212"/>
    <d v="2024-11-13T00:00:00"/>
    <x v="2"/>
    <x v="3"/>
    <x v="0"/>
    <x v="1"/>
    <x v="1"/>
    <x v="2"/>
  </r>
  <r>
    <s v="P310"/>
    <n v="48"/>
    <x v="0"/>
    <n v="19.399999999999999"/>
    <n v="180"/>
    <n v="120"/>
    <x v="0"/>
    <x v="1"/>
    <x v="1"/>
    <n v="305.77999999999997"/>
    <x v="78"/>
    <d v="2025-02-12T00:00:00"/>
    <x v="1"/>
    <x v="1"/>
    <x v="0"/>
    <x v="1"/>
    <x v="1"/>
    <x v="11"/>
  </r>
  <r>
    <s v="P311"/>
    <n v="70"/>
    <x v="1"/>
    <n v="35.1"/>
    <n v="155"/>
    <n v="104"/>
    <x v="1"/>
    <x v="0"/>
    <x v="0"/>
    <n v="2191.62"/>
    <x v="58"/>
    <d v="2025-08-27T00:00:00"/>
    <x v="2"/>
    <x v="4"/>
    <x v="1"/>
    <x v="0"/>
    <x v="1"/>
    <x v="5"/>
  </r>
  <r>
    <s v="P312"/>
    <n v="47"/>
    <x v="0"/>
    <n v="22.7"/>
    <n v="177"/>
    <n v="87"/>
    <x v="0"/>
    <x v="0"/>
    <x v="3"/>
    <n v="135.69999999999999"/>
    <x v="114"/>
    <d v="2025-08-03T00:00:00"/>
    <x v="2"/>
    <x v="1"/>
    <x v="0"/>
    <x v="0"/>
    <x v="1"/>
    <x v="8"/>
  </r>
  <r>
    <s v="P313"/>
    <n v="39"/>
    <x v="1"/>
    <n v="27.9"/>
    <n v="166"/>
    <n v="93"/>
    <x v="1"/>
    <x v="0"/>
    <x v="1"/>
    <n v="1015.1"/>
    <x v="198"/>
    <d v="2025-07-26T00:00:00"/>
    <x v="0"/>
    <x v="1"/>
    <x v="1"/>
    <x v="0"/>
    <x v="1"/>
    <x v="2"/>
  </r>
  <r>
    <s v="P314"/>
    <n v="81"/>
    <x v="0"/>
    <n v="37.799999999999997"/>
    <n v="96"/>
    <n v="111"/>
    <x v="1"/>
    <x v="1"/>
    <x v="4"/>
    <n v="1224.3900000000001"/>
    <x v="213"/>
    <d v="2025-02-17T00:00:00"/>
    <x v="2"/>
    <x v="4"/>
    <x v="0"/>
    <x v="0"/>
    <x v="1"/>
    <x v="12"/>
  </r>
  <r>
    <s v="P315"/>
    <n v="55"/>
    <x v="1"/>
    <n v="21.1"/>
    <n v="168"/>
    <n v="61"/>
    <x v="0"/>
    <x v="1"/>
    <x v="0"/>
    <n v="1792.32"/>
    <x v="214"/>
    <d v="2025-03-28T00:00:00"/>
    <x v="2"/>
    <x v="2"/>
    <x v="0"/>
    <x v="1"/>
    <x v="1"/>
    <x v="0"/>
  </r>
  <r>
    <s v="P316"/>
    <n v="41"/>
    <x v="1"/>
    <n v="23.7"/>
    <n v="118"/>
    <n v="120"/>
    <x v="1"/>
    <x v="0"/>
    <x v="3"/>
    <n v="877.04"/>
    <x v="48"/>
    <d v="2025-03-24T00:00:00"/>
    <x v="1"/>
    <x v="1"/>
    <x v="1"/>
    <x v="0"/>
    <x v="1"/>
    <x v="3"/>
  </r>
  <r>
    <s v="P317"/>
    <n v="45"/>
    <x v="1"/>
    <n v="39.4"/>
    <n v="164"/>
    <n v="99"/>
    <x v="0"/>
    <x v="1"/>
    <x v="4"/>
    <n v="3595.95"/>
    <x v="55"/>
    <d v="2025-02-16T00:00:00"/>
    <x v="2"/>
    <x v="1"/>
    <x v="0"/>
    <x v="1"/>
    <x v="1"/>
    <x v="1"/>
  </r>
  <r>
    <s v="P318"/>
    <n v="86"/>
    <x v="0"/>
    <n v="26.7"/>
    <n v="101"/>
    <n v="120"/>
    <x v="1"/>
    <x v="1"/>
    <x v="0"/>
    <n v="3067.31"/>
    <x v="71"/>
    <d v="2025-04-16T00:00:00"/>
    <x v="2"/>
    <x v="4"/>
    <x v="0"/>
    <x v="0"/>
    <x v="1"/>
    <x v="10"/>
  </r>
  <r>
    <s v="P319"/>
    <n v="32"/>
    <x v="0"/>
    <n v="26.5"/>
    <n v="90"/>
    <n v="63"/>
    <x v="1"/>
    <x v="1"/>
    <x v="2"/>
    <n v="106.04"/>
    <x v="206"/>
    <d v="2025-09-13T00:00:00"/>
    <x v="2"/>
    <x v="3"/>
    <x v="0"/>
    <x v="0"/>
    <x v="0"/>
    <x v="1"/>
  </r>
  <r>
    <s v="P320"/>
    <n v="43"/>
    <x v="0"/>
    <n v="26.3"/>
    <n v="165"/>
    <n v="92"/>
    <x v="1"/>
    <x v="1"/>
    <x v="4"/>
    <n v="4314.3599999999997"/>
    <x v="215"/>
    <d v="2025-03-30T00:00:00"/>
    <x v="1"/>
    <x v="1"/>
    <x v="0"/>
    <x v="0"/>
    <x v="1"/>
    <x v="1"/>
  </r>
  <r>
    <s v="P321"/>
    <n v="75"/>
    <x v="1"/>
    <n v="19.100000000000001"/>
    <n v="124"/>
    <n v="118"/>
    <x v="1"/>
    <x v="1"/>
    <x v="4"/>
    <n v="1241.18"/>
    <x v="165"/>
    <d v="2025-02-28T00:00:00"/>
    <x v="2"/>
    <x v="4"/>
    <x v="0"/>
    <x v="0"/>
    <x v="1"/>
    <x v="7"/>
  </r>
  <r>
    <s v="P322"/>
    <n v="31"/>
    <x v="1"/>
    <n v="31.8"/>
    <n v="178"/>
    <n v="84"/>
    <x v="0"/>
    <x v="1"/>
    <x v="1"/>
    <n v="4575.45"/>
    <x v="65"/>
    <d v="2025-06-19T00:00:00"/>
    <x v="2"/>
    <x v="3"/>
    <x v="0"/>
    <x v="1"/>
    <x v="1"/>
    <x v="1"/>
  </r>
  <r>
    <s v="P323"/>
    <n v="43"/>
    <x v="1"/>
    <n v="27.9"/>
    <n v="167"/>
    <n v="90"/>
    <x v="1"/>
    <x v="1"/>
    <x v="1"/>
    <n v="3215.06"/>
    <x v="80"/>
    <d v="2025-09-25T00:00:00"/>
    <x v="2"/>
    <x v="1"/>
    <x v="0"/>
    <x v="0"/>
    <x v="1"/>
    <x v="3"/>
  </r>
  <r>
    <s v="P324"/>
    <n v="28"/>
    <x v="0"/>
    <n v="30.1"/>
    <n v="128"/>
    <n v="84"/>
    <x v="0"/>
    <x v="0"/>
    <x v="4"/>
    <n v="1972.5"/>
    <x v="111"/>
    <d v="2025-06-10T00:00:00"/>
    <x v="2"/>
    <x v="3"/>
    <x v="0"/>
    <x v="0"/>
    <x v="1"/>
    <x v="1"/>
  </r>
  <r>
    <s v="P325"/>
    <n v="88"/>
    <x v="1"/>
    <n v="23"/>
    <n v="125"/>
    <n v="105"/>
    <x v="1"/>
    <x v="1"/>
    <x v="2"/>
    <n v="1081.21"/>
    <x v="52"/>
    <d v="2025-06-01T00:00:00"/>
    <x v="0"/>
    <x v="4"/>
    <x v="0"/>
    <x v="0"/>
    <x v="1"/>
    <x v="2"/>
  </r>
  <r>
    <s v="P326"/>
    <n v="28"/>
    <x v="1"/>
    <n v="25"/>
    <n v="180"/>
    <n v="110"/>
    <x v="1"/>
    <x v="0"/>
    <x v="3"/>
    <n v="4196.5"/>
    <x v="117"/>
    <d v="2025-07-29T00:00:00"/>
    <x v="1"/>
    <x v="3"/>
    <x v="1"/>
    <x v="0"/>
    <x v="1"/>
    <x v="11"/>
  </r>
  <r>
    <s v="P327"/>
    <n v="82"/>
    <x v="0"/>
    <n v="39.1"/>
    <n v="116"/>
    <n v="60"/>
    <x v="0"/>
    <x v="1"/>
    <x v="4"/>
    <n v="4173.49"/>
    <x v="73"/>
    <d v="2024-10-20T00:00:00"/>
    <x v="2"/>
    <x v="4"/>
    <x v="0"/>
    <x v="1"/>
    <x v="0"/>
    <x v="12"/>
  </r>
  <r>
    <s v="P328"/>
    <n v="73"/>
    <x v="0"/>
    <n v="18"/>
    <n v="103"/>
    <n v="98"/>
    <x v="1"/>
    <x v="0"/>
    <x v="0"/>
    <n v="1219.97"/>
    <x v="115"/>
    <d v="2025-03-19T00:00:00"/>
    <x v="0"/>
    <x v="4"/>
    <x v="1"/>
    <x v="0"/>
    <x v="1"/>
    <x v="8"/>
  </r>
  <r>
    <s v="P329"/>
    <n v="20"/>
    <x v="1"/>
    <n v="39.1"/>
    <n v="99"/>
    <n v="97"/>
    <x v="0"/>
    <x v="0"/>
    <x v="3"/>
    <n v="3702.96"/>
    <x v="72"/>
    <d v="2025-06-08T00:00:00"/>
    <x v="2"/>
    <x v="0"/>
    <x v="0"/>
    <x v="0"/>
    <x v="1"/>
    <x v="3"/>
  </r>
  <r>
    <s v="P330"/>
    <n v="57"/>
    <x v="1"/>
    <n v="35.700000000000003"/>
    <n v="151"/>
    <n v="119"/>
    <x v="1"/>
    <x v="1"/>
    <x v="2"/>
    <n v="111.54"/>
    <x v="216"/>
    <d v="2025-04-21T00:00:00"/>
    <x v="0"/>
    <x v="2"/>
    <x v="0"/>
    <x v="0"/>
    <x v="1"/>
    <x v="7"/>
  </r>
  <r>
    <s v="P331"/>
    <n v="24"/>
    <x v="0"/>
    <n v="20.100000000000001"/>
    <n v="140"/>
    <n v="108"/>
    <x v="0"/>
    <x v="1"/>
    <x v="3"/>
    <n v="492.22"/>
    <x v="217"/>
    <d v="2024-11-11T00:00:00"/>
    <x v="1"/>
    <x v="0"/>
    <x v="0"/>
    <x v="1"/>
    <x v="1"/>
    <x v="3"/>
  </r>
  <r>
    <s v="P332"/>
    <n v="69"/>
    <x v="0"/>
    <n v="26.7"/>
    <n v="116"/>
    <n v="91"/>
    <x v="0"/>
    <x v="0"/>
    <x v="1"/>
    <n v="3855.05"/>
    <x v="218"/>
    <d v="2025-06-27T00:00:00"/>
    <x v="1"/>
    <x v="4"/>
    <x v="0"/>
    <x v="0"/>
    <x v="1"/>
    <x v="5"/>
  </r>
  <r>
    <s v="P333"/>
    <n v="64"/>
    <x v="0"/>
    <n v="20.2"/>
    <n v="163"/>
    <n v="67"/>
    <x v="0"/>
    <x v="1"/>
    <x v="3"/>
    <n v="3380.75"/>
    <x v="161"/>
    <d v="2024-12-10T00:00:00"/>
    <x v="1"/>
    <x v="2"/>
    <x v="0"/>
    <x v="1"/>
    <x v="1"/>
    <x v="12"/>
  </r>
  <r>
    <s v="P334"/>
    <n v="86"/>
    <x v="1"/>
    <n v="36"/>
    <n v="98"/>
    <n v="72"/>
    <x v="0"/>
    <x v="0"/>
    <x v="4"/>
    <n v="589.65"/>
    <x v="137"/>
    <d v="2025-09-19T00:00:00"/>
    <x v="1"/>
    <x v="4"/>
    <x v="0"/>
    <x v="0"/>
    <x v="0"/>
    <x v="11"/>
  </r>
  <r>
    <s v="P335"/>
    <n v="23"/>
    <x v="1"/>
    <n v="30.7"/>
    <n v="145"/>
    <n v="88"/>
    <x v="1"/>
    <x v="0"/>
    <x v="2"/>
    <n v="4909.54"/>
    <x v="219"/>
    <d v="2025-09-17T00:00:00"/>
    <x v="2"/>
    <x v="0"/>
    <x v="1"/>
    <x v="0"/>
    <x v="1"/>
    <x v="10"/>
  </r>
  <r>
    <s v="P336"/>
    <n v="43"/>
    <x v="0"/>
    <n v="37.5"/>
    <n v="105"/>
    <n v="116"/>
    <x v="0"/>
    <x v="1"/>
    <x v="1"/>
    <n v="446.04"/>
    <x v="220"/>
    <d v="2025-03-13T00:00:00"/>
    <x v="1"/>
    <x v="1"/>
    <x v="0"/>
    <x v="1"/>
    <x v="1"/>
    <x v="6"/>
  </r>
  <r>
    <s v="P337"/>
    <n v="87"/>
    <x v="0"/>
    <n v="27.2"/>
    <n v="133"/>
    <n v="92"/>
    <x v="1"/>
    <x v="1"/>
    <x v="2"/>
    <n v="4317.4399999999996"/>
    <x v="221"/>
    <d v="2025-04-24T00:00:00"/>
    <x v="1"/>
    <x v="4"/>
    <x v="0"/>
    <x v="0"/>
    <x v="1"/>
    <x v="13"/>
  </r>
  <r>
    <s v="P338"/>
    <n v="56"/>
    <x v="0"/>
    <n v="26.3"/>
    <n v="162"/>
    <n v="85"/>
    <x v="0"/>
    <x v="0"/>
    <x v="4"/>
    <n v="2149.91"/>
    <x v="175"/>
    <d v="2024-10-28T00:00:00"/>
    <x v="2"/>
    <x v="2"/>
    <x v="0"/>
    <x v="0"/>
    <x v="1"/>
    <x v="1"/>
  </r>
  <r>
    <s v="P339"/>
    <n v="86"/>
    <x v="1"/>
    <n v="26.6"/>
    <n v="101"/>
    <n v="89"/>
    <x v="0"/>
    <x v="0"/>
    <x v="1"/>
    <n v="4993.8999999999996"/>
    <x v="222"/>
    <d v="2025-10-09T00:00:00"/>
    <x v="0"/>
    <x v="4"/>
    <x v="0"/>
    <x v="0"/>
    <x v="0"/>
    <x v="13"/>
  </r>
  <r>
    <s v="P340"/>
    <n v="89"/>
    <x v="1"/>
    <n v="24.9"/>
    <n v="128"/>
    <n v="99"/>
    <x v="1"/>
    <x v="0"/>
    <x v="3"/>
    <n v="2738.26"/>
    <x v="223"/>
    <d v="2025-05-23T00:00:00"/>
    <x v="2"/>
    <x v="4"/>
    <x v="1"/>
    <x v="0"/>
    <x v="1"/>
    <x v="12"/>
  </r>
  <r>
    <s v="P341"/>
    <n v="79"/>
    <x v="1"/>
    <n v="36.5"/>
    <n v="92"/>
    <n v="76"/>
    <x v="1"/>
    <x v="1"/>
    <x v="0"/>
    <n v="3315.92"/>
    <x v="217"/>
    <d v="2024-11-03T00:00:00"/>
    <x v="1"/>
    <x v="4"/>
    <x v="0"/>
    <x v="0"/>
    <x v="0"/>
    <x v="6"/>
  </r>
  <r>
    <s v="P342"/>
    <n v="80"/>
    <x v="0"/>
    <n v="36"/>
    <n v="121"/>
    <n v="84"/>
    <x v="0"/>
    <x v="0"/>
    <x v="4"/>
    <n v="2361.8000000000002"/>
    <x v="21"/>
    <d v="2025-08-28T00:00:00"/>
    <x v="0"/>
    <x v="4"/>
    <x v="0"/>
    <x v="0"/>
    <x v="0"/>
    <x v="0"/>
  </r>
  <r>
    <s v="P343"/>
    <n v="61"/>
    <x v="0"/>
    <n v="31.6"/>
    <n v="150"/>
    <n v="81"/>
    <x v="1"/>
    <x v="0"/>
    <x v="3"/>
    <n v="4585.47"/>
    <x v="160"/>
    <d v="2025-01-26T00:00:00"/>
    <x v="1"/>
    <x v="2"/>
    <x v="1"/>
    <x v="0"/>
    <x v="1"/>
    <x v="1"/>
  </r>
  <r>
    <s v="P344"/>
    <n v="49"/>
    <x v="1"/>
    <n v="24.4"/>
    <n v="107"/>
    <n v="110"/>
    <x v="1"/>
    <x v="0"/>
    <x v="1"/>
    <n v="1776.15"/>
    <x v="162"/>
    <d v="2025-08-16T00:00:00"/>
    <x v="2"/>
    <x v="1"/>
    <x v="1"/>
    <x v="0"/>
    <x v="1"/>
    <x v="1"/>
  </r>
  <r>
    <s v="P345"/>
    <n v="84"/>
    <x v="1"/>
    <n v="23.7"/>
    <n v="140"/>
    <n v="78"/>
    <x v="0"/>
    <x v="0"/>
    <x v="1"/>
    <n v="4212.3"/>
    <x v="196"/>
    <d v="2025-07-31T00:00:00"/>
    <x v="1"/>
    <x v="4"/>
    <x v="0"/>
    <x v="0"/>
    <x v="1"/>
    <x v="1"/>
  </r>
  <r>
    <s v="P346"/>
    <n v="28"/>
    <x v="0"/>
    <n v="28.6"/>
    <n v="152"/>
    <n v="69"/>
    <x v="1"/>
    <x v="1"/>
    <x v="3"/>
    <n v="4190.46"/>
    <x v="224"/>
    <d v="2025-08-05T00:00:00"/>
    <x v="2"/>
    <x v="3"/>
    <x v="0"/>
    <x v="0"/>
    <x v="1"/>
    <x v="5"/>
  </r>
  <r>
    <s v="P347"/>
    <n v="58"/>
    <x v="0"/>
    <n v="18.600000000000001"/>
    <n v="93"/>
    <n v="70"/>
    <x v="0"/>
    <x v="1"/>
    <x v="1"/>
    <n v="1488.8"/>
    <x v="225"/>
    <d v="2025-01-12T00:00:00"/>
    <x v="0"/>
    <x v="2"/>
    <x v="0"/>
    <x v="1"/>
    <x v="0"/>
    <x v="2"/>
  </r>
  <r>
    <s v="P348"/>
    <n v="90"/>
    <x v="0"/>
    <n v="19.100000000000001"/>
    <n v="143"/>
    <n v="67"/>
    <x v="0"/>
    <x v="1"/>
    <x v="2"/>
    <n v="2883.67"/>
    <x v="226"/>
    <d v="2025-02-15T00:00:00"/>
    <x v="1"/>
    <x v="4"/>
    <x v="0"/>
    <x v="1"/>
    <x v="1"/>
    <x v="6"/>
  </r>
  <r>
    <s v="P349"/>
    <n v="35"/>
    <x v="1"/>
    <n v="39.6"/>
    <n v="145"/>
    <n v="115"/>
    <x v="1"/>
    <x v="1"/>
    <x v="1"/>
    <n v="4532.62"/>
    <x v="63"/>
    <d v="2025-08-20T00:00:00"/>
    <x v="2"/>
    <x v="3"/>
    <x v="0"/>
    <x v="0"/>
    <x v="1"/>
    <x v="1"/>
  </r>
  <r>
    <s v="P350"/>
    <n v="42"/>
    <x v="0"/>
    <n v="33.799999999999997"/>
    <n v="171"/>
    <n v="67"/>
    <x v="0"/>
    <x v="0"/>
    <x v="2"/>
    <n v="3098.32"/>
    <x v="46"/>
    <d v="2024-12-30T00:00:00"/>
    <x v="0"/>
    <x v="1"/>
    <x v="0"/>
    <x v="0"/>
    <x v="1"/>
    <x v="3"/>
  </r>
  <r>
    <s v="P351"/>
    <n v="28"/>
    <x v="1"/>
    <n v="34.799999999999997"/>
    <n v="155"/>
    <n v="66"/>
    <x v="0"/>
    <x v="1"/>
    <x v="2"/>
    <n v="2881.04"/>
    <x v="227"/>
    <d v="2025-05-06T00:00:00"/>
    <x v="1"/>
    <x v="3"/>
    <x v="0"/>
    <x v="1"/>
    <x v="1"/>
    <x v="8"/>
  </r>
  <r>
    <s v="P352"/>
    <n v="81"/>
    <x v="0"/>
    <n v="33.5"/>
    <n v="151"/>
    <n v="88"/>
    <x v="1"/>
    <x v="1"/>
    <x v="0"/>
    <n v="755.63"/>
    <x v="40"/>
    <d v="2025-01-12T00:00:00"/>
    <x v="2"/>
    <x v="4"/>
    <x v="0"/>
    <x v="0"/>
    <x v="1"/>
    <x v="13"/>
  </r>
  <r>
    <s v="P353"/>
    <n v="20"/>
    <x v="1"/>
    <n v="26.5"/>
    <n v="98"/>
    <n v="62"/>
    <x v="1"/>
    <x v="0"/>
    <x v="0"/>
    <n v="2530.88"/>
    <x v="228"/>
    <d v="2024-10-25T00:00:00"/>
    <x v="0"/>
    <x v="0"/>
    <x v="1"/>
    <x v="0"/>
    <x v="0"/>
    <x v="4"/>
  </r>
  <r>
    <s v="P354"/>
    <n v="82"/>
    <x v="0"/>
    <n v="32.9"/>
    <n v="101"/>
    <n v="67"/>
    <x v="0"/>
    <x v="0"/>
    <x v="2"/>
    <n v="4327.01"/>
    <x v="212"/>
    <d v="2024-11-07T00:00:00"/>
    <x v="2"/>
    <x v="4"/>
    <x v="0"/>
    <x v="0"/>
    <x v="0"/>
    <x v="9"/>
  </r>
  <r>
    <s v="P355"/>
    <n v="74"/>
    <x v="1"/>
    <n v="26.6"/>
    <n v="131"/>
    <n v="66"/>
    <x v="0"/>
    <x v="0"/>
    <x v="0"/>
    <n v="828.77"/>
    <x v="229"/>
    <d v="2025-07-26T00:00:00"/>
    <x v="2"/>
    <x v="4"/>
    <x v="0"/>
    <x v="0"/>
    <x v="1"/>
    <x v="5"/>
  </r>
  <r>
    <s v="P356"/>
    <n v="23"/>
    <x v="0"/>
    <n v="36.5"/>
    <n v="116"/>
    <n v="82"/>
    <x v="0"/>
    <x v="0"/>
    <x v="0"/>
    <n v="3436.13"/>
    <x v="0"/>
    <d v="2025-02-03T00:00:00"/>
    <x v="1"/>
    <x v="0"/>
    <x v="0"/>
    <x v="0"/>
    <x v="0"/>
    <x v="12"/>
  </r>
  <r>
    <s v="P357"/>
    <n v="70"/>
    <x v="0"/>
    <n v="35.9"/>
    <n v="98"/>
    <n v="62"/>
    <x v="0"/>
    <x v="0"/>
    <x v="2"/>
    <n v="2946.59"/>
    <x v="118"/>
    <d v="2025-06-14T00:00:00"/>
    <x v="2"/>
    <x v="4"/>
    <x v="0"/>
    <x v="0"/>
    <x v="0"/>
    <x v="3"/>
  </r>
  <r>
    <s v="P358"/>
    <n v="55"/>
    <x v="0"/>
    <n v="30"/>
    <n v="121"/>
    <n v="117"/>
    <x v="0"/>
    <x v="0"/>
    <x v="4"/>
    <n v="4007.02"/>
    <x v="230"/>
    <d v="2024-12-03T00:00:00"/>
    <x v="1"/>
    <x v="2"/>
    <x v="0"/>
    <x v="0"/>
    <x v="1"/>
    <x v="13"/>
  </r>
  <r>
    <s v="P359"/>
    <n v="78"/>
    <x v="0"/>
    <n v="25.4"/>
    <n v="128"/>
    <n v="97"/>
    <x v="0"/>
    <x v="1"/>
    <x v="1"/>
    <n v="1507.01"/>
    <x v="231"/>
    <d v="2024-12-05T00:00:00"/>
    <x v="2"/>
    <x v="4"/>
    <x v="0"/>
    <x v="1"/>
    <x v="1"/>
    <x v="7"/>
  </r>
  <r>
    <s v="P360"/>
    <n v="66"/>
    <x v="1"/>
    <n v="39.9"/>
    <n v="174"/>
    <n v="116"/>
    <x v="0"/>
    <x v="0"/>
    <x v="4"/>
    <n v="3414.68"/>
    <x v="232"/>
    <d v="2025-02-16T00:00:00"/>
    <x v="2"/>
    <x v="4"/>
    <x v="0"/>
    <x v="0"/>
    <x v="1"/>
    <x v="2"/>
  </r>
  <r>
    <s v="P361"/>
    <n v="63"/>
    <x v="1"/>
    <n v="28"/>
    <n v="148"/>
    <n v="108"/>
    <x v="0"/>
    <x v="0"/>
    <x v="1"/>
    <n v="2439.29"/>
    <x v="233"/>
    <d v="2025-07-08T00:00:00"/>
    <x v="2"/>
    <x v="2"/>
    <x v="0"/>
    <x v="0"/>
    <x v="1"/>
    <x v="8"/>
  </r>
  <r>
    <s v="P362"/>
    <n v="55"/>
    <x v="0"/>
    <n v="26.3"/>
    <n v="110"/>
    <n v="111"/>
    <x v="1"/>
    <x v="0"/>
    <x v="1"/>
    <n v="4792.82"/>
    <x v="88"/>
    <d v="2025-08-04T00:00:00"/>
    <x v="1"/>
    <x v="2"/>
    <x v="1"/>
    <x v="0"/>
    <x v="1"/>
    <x v="9"/>
  </r>
  <r>
    <s v="P363"/>
    <n v="71"/>
    <x v="0"/>
    <n v="26.2"/>
    <n v="155"/>
    <n v="97"/>
    <x v="0"/>
    <x v="1"/>
    <x v="4"/>
    <n v="4023.08"/>
    <x v="234"/>
    <d v="2025-04-23T00:00:00"/>
    <x v="2"/>
    <x v="4"/>
    <x v="0"/>
    <x v="1"/>
    <x v="1"/>
    <x v="1"/>
  </r>
  <r>
    <s v="P364"/>
    <n v="88"/>
    <x v="0"/>
    <n v="27.5"/>
    <n v="122"/>
    <n v="65"/>
    <x v="1"/>
    <x v="1"/>
    <x v="4"/>
    <n v="4554.22"/>
    <x v="235"/>
    <d v="2025-02-04T00:00:00"/>
    <x v="1"/>
    <x v="4"/>
    <x v="0"/>
    <x v="0"/>
    <x v="0"/>
    <x v="7"/>
  </r>
  <r>
    <s v="P365"/>
    <n v="71"/>
    <x v="0"/>
    <n v="25.5"/>
    <n v="154"/>
    <n v="116"/>
    <x v="0"/>
    <x v="1"/>
    <x v="2"/>
    <n v="1920.95"/>
    <x v="190"/>
    <d v="2024-12-23T00:00:00"/>
    <x v="1"/>
    <x v="4"/>
    <x v="0"/>
    <x v="1"/>
    <x v="1"/>
    <x v="6"/>
  </r>
  <r>
    <s v="P366"/>
    <n v="63"/>
    <x v="0"/>
    <n v="24.3"/>
    <n v="145"/>
    <n v="105"/>
    <x v="0"/>
    <x v="1"/>
    <x v="1"/>
    <n v="4375.96"/>
    <x v="215"/>
    <d v="2025-03-28T00:00:00"/>
    <x v="0"/>
    <x v="2"/>
    <x v="0"/>
    <x v="1"/>
    <x v="1"/>
    <x v="6"/>
  </r>
  <r>
    <s v="P367"/>
    <n v="66"/>
    <x v="0"/>
    <n v="23"/>
    <n v="177"/>
    <n v="120"/>
    <x v="1"/>
    <x v="1"/>
    <x v="1"/>
    <n v="253.81"/>
    <x v="236"/>
    <d v="2025-01-01T00:00:00"/>
    <x v="0"/>
    <x v="4"/>
    <x v="0"/>
    <x v="0"/>
    <x v="1"/>
    <x v="6"/>
  </r>
  <r>
    <s v="P368"/>
    <n v="63"/>
    <x v="1"/>
    <n v="32.299999999999997"/>
    <n v="152"/>
    <n v="84"/>
    <x v="1"/>
    <x v="1"/>
    <x v="2"/>
    <n v="286.42"/>
    <x v="82"/>
    <d v="2025-07-09T00:00:00"/>
    <x v="1"/>
    <x v="2"/>
    <x v="0"/>
    <x v="0"/>
    <x v="1"/>
    <x v="10"/>
  </r>
  <r>
    <s v="P369"/>
    <n v="54"/>
    <x v="0"/>
    <n v="28.6"/>
    <n v="125"/>
    <n v="78"/>
    <x v="1"/>
    <x v="1"/>
    <x v="0"/>
    <n v="4038.41"/>
    <x v="237"/>
    <d v="2025-07-25T00:00:00"/>
    <x v="2"/>
    <x v="2"/>
    <x v="0"/>
    <x v="0"/>
    <x v="0"/>
    <x v="10"/>
  </r>
  <r>
    <s v="P370"/>
    <n v="77"/>
    <x v="1"/>
    <n v="25.2"/>
    <n v="133"/>
    <n v="77"/>
    <x v="1"/>
    <x v="1"/>
    <x v="2"/>
    <n v="2174.29"/>
    <x v="194"/>
    <d v="2025-01-27T00:00:00"/>
    <x v="1"/>
    <x v="4"/>
    <x v="0"/>
    <x v="0"/>
    <x v="1"/>
    <x v="10"/>
  </r>
  <r>
    <s v="P371"/>
    <n v="53"/>
    <x v="1"/>
    <n v="36.1"/>
    <n v="115"/>
    <n v="61"/>
    <x v="1"/>
    <x v="0"/>
    <x v="0"/>
    <n v="3905.6"/>
    <x v="84"/>
    <d v="2025-05-17T00:00:00"/>
    <x v="2"/>
    <x v="2"/>
    <x v="1"/>
    <x v="0"/>
    <x v="0"/>
    <x v="7"/>
  </r>
  <r>
    <s v="P372"/>
    <n v="64"/>
    <x v="1"/>
    <n v="34.4"/>
    <n v="116"/>
    <n v="71"/>
    <x v="1"/>
    <x v="0"/>
    <x v="1"/>
    <n v="788.35"/>
    <x v="27"/>
    <d v="2025-01-08T00:00:00"/>
    <x v="2"/>
    <x v="2"/>
    <x v="1"/>
    <x v="0"/>
    <x v="0"/>
    <x v="9"/>
  </r>
  <r>
    <s v="P373"/>
    <n v="85"/>
    <x v="1"/>
    <n v="19.7"/>
    <n v="166"/>
    <n v="70"/>
    <x v="1"/>
    <x v="0"/>
    <x v="2"/>
    <n v="2922.75"/>
    <x v="215"/>
    <d v="2025-04-04T00:00:00"/>
    <x v="1"/>
    <x v="4"/>
    <x v="1"/>
    <x v="0"/>
    <x v="1"/>
    <x v="2"/>
  </r>
  <r>
    <s v="P374"/>
    <n v="51"/>
    <x v="1"/>
    <n v="37.1"/>
    <n v="171"/>
    <n v="91"/>
    <x v="0"/>
    <x v="1"/>
    <x v="2"/>
    <n v="3675.59"/>
    <x v="124"/>
    <d v="2024-12-07T00:00:00"/>
    <x v="1"/>
    <x v="2"/>
    <x v="0"/>
    <x v="1"/>
    <x v="1"/>
    <x v="0"/>
  </r>
  <r>
    <s v="P375"/>
    <n v="30"/>
    <x v="0"/>
    <n v="25.2"/>
    <n v="164"/>
    <n v="66"/>
    <x v="0"/>
    <x v="0"/>
    <x v="1"/>
    <n v="3007.9"/>
    <x v="238"/>
    <d v="2025-06-26T00:00:00"/>
    <x v="1"/>
    <x v="3"/>
    <x v="0"/>
    <x v="0"/>
    <x v="1"/>
    <x v="2"/>
  </r>
  <r>
    <s v="P376"/>
    <n v="69"/>
    <x v="1"/>
    <n v="32.1"/>
    <n v="110"/>
    <n v="68"/>
    <x v="0"/>
    <x v="1"/>
    <x v="4"/>
    <n v="1019.52"/>
    <x v="239"/>
    <d v="2024-12-11T00:00:00"/>
    <x v="2"/>
    <x v="4"/>
    <x v="0"/>
    <x v="1"/>
    <x v="0"/>
    <x v="10"/>
  </r>
  <r>
    <s v="P377"/>
    <n v="59"/>
    <x v="0"/>
    <n v="19.100000000000001"/>
    <n v="175"/>
    <n v="61"/>
    <x v="1"/>
    <x v="0"/>
    <x v="4"/>
    <n v="2887.03"/>
    <x v="193"/>
    <d v="2025-02-02T00:00:00"/>
    <x v="2"/>
    <x v="2"/>
    <x v="1"/>
    <x v="0"/>
    <x v="1"/>
    <x v="2"/>
  </r>
  <r>
    <s v="P378"/>
    <n v="21"/>
    <x v="0"/>
    <n v="21.5"/>
    <n v="168"/>
    <n v="98"/>
    <x v="0"/>
    <x v="0"/>
    <x v="2"/>
    <n v="788.72"/>
    <x v="30"/>
    <d v="2025-06-11T00:00:00"/>
    <x v="1"/>
    <x v="0"/>
    <x v="0"/>
    <x v="0"/>
    <x v="1"/>
    <x v="6"/>
  </r>
  <r>
    <s v="P379"/>
    <n v="42"/>
    <x v="0"/>
    <n v="38.799999999999997"/>
    <n v="174"/>
    <n v="69"/>
    <x v="0"/>
    <x v="0"/>
    <x v="4"/>
    <n v="1254.74"/>
    <x v="240"/>
    <d v="2025-07-02T00:00:00"/>
    <x v="2"/>
    <x v="1"/>
    <x v="0"/>
    <x v="0"/>
    <x v="1"/>
    <x v="8"/>
  </r>
  <r>
    <s v="P380"/>
    <n v="21"/>
    <x v="1"/>
    <n v="21.3"/>
    <n v="138"/>
    <n v="97"/>
    <x v="1"/>
    <x v="1"/>
    <x v="3"/>
    <n v="1165.23"/>
    <x v="82"/>
    <d v="2025-07-06T00:00:00"/>
    <x v="2"/>
    <x v="0"/>
    <x v="0"/>
    <x v="0"/>
    <x v="1"/>
    <x v="9"/>
  </r>
  <r>
    <s v="P381"/>
    <n v="20"/>
    <x v="1"/>
    <n v="28.5"/>
    <n v="137"/>
    <n v="91"/>
    <x v="0"/>
    <x v="0"/>
    <x v="2"/>
    <n v="3456.55"/>
    <x v="60"/>
    <d v="2024-12-09T00:00:00"/>
    <x v="1"/>
    <x v="0"/>
    <x v="0"/>
    <x v="0"/>
    <x v="1"/>
    <x v="8"/>
  </r>
  <r>
    <s v="P382"/>
    <n v="20"/>
    <x v="0"/>
    <n v="24.1"/>
    <n v="148"/>
    <n v="93"/>
    <x v="1"/>
    <x v="1"/>
    <x v="3"/>
    <n v="4027.19"/>
    <x v="207"/>
    <d v="2025-05-26T00:00:00"/>
    <x v="1"/>
    <x v="0"/>
    <x v="0"/>
    <x v="0"/>
    <x v="1"/>
    <x v="2"/>
  </r>
  <r>
    <s v="P383"/>
    <n v="65"/>
    <x v="1"/>
    <n v="25.6"/>
    <n v="166"/>
    <n v="82"/>
    <x v="1"/>
    <x v="0"/>
    <x v="2"/>
    <n v="2780.24"/>
    <x v="241"/>
    <d v="2024-10-20T00:00:00"/>
    <x v="0"/>
    <x v="2"/>
    <x v="1"/>
    <x v="0"/>
    <x v="1"/>
    <x v="7"/>
  </r>
  <r>
    <s v="P384"/>
    <n v="19"/>
    <x v="1"/>
    <n v="35.200000000000003"/>
    <n v="176"/>
    <n v="78"/>
    <x v="1"/>
    <x v="1"/>
    <x v="3"/>
    <n v="1188.04"/>
    <x v="97"/>
    <d v="2024-10-18T00:00:00"/>
    <x v="0"/>
    <x v="0"/>
    <x v="0"/>
    <x v="0"/>
    <x v="1"/>
    <x v="8"/>
  </r>
  <r>
    <s v="P385"/>
    <n v="80"/>
    <x v="0"/>
    <n v="30.7"/>
    <n v="113"/>
    <n v="85"/>
    <x v="0"/>
    <x v="1"/>
    <x v="2"/>
    <n v="2189.54"/>
    <x v="68"/>
    <d v="2025-04-12T00:00:00"/>
    <x v="1"/>
    <x v="4"/>
    <x v="0"/>
    <x v="1"/>
    <x v="0"/>
    <x v="1"/>
  </r>
  <r>
    <s v="P386"/>
    <n v="47"/>
    <x v="0"/>
    <n v="36.1"/>
    <n v="104"/>
    <n v="92"/>
    <x v="1"/>
    <x v="1"/>
    <x v="2"/>
    <n v="2490.13"/>
    <x v="115"/>
    <d v="2025-03-12T00:00:00"/>
    <x v="0"/>
    <x v="1"/>
    <x v="0"/>
    <x v="0"/>
    <x v="1"/>
    <x v="7"/>
  </r>
  <r>
    <s v="P387"/>
    <n v="35"/>
    <x v="0"/>
    <n v="22.8"/>
    <n v="155"/>
    <n v="114"/>
    <x v="0"/>
    <x v="0"/>
    <x v="3"/>
    <n v="3456.65"/>
    <x v="207"/>
    <d v="2025-05-27T00:00:00"/>
    <x v="2"/>
    <x v="3"/>
    <x v="0"/>
    <x v="0"/>
    <x v="1"/>
    <x v="3"/>
  </r>
  <r>
    <s v="P388"/>
    <n v="32"/>
    <x v="0"/>
    <n v="36"/>
    <n v="151"/>
    <n v="88"/>
    <x v="0"/>
    <x v="1"/>
    <x v="2"/>
    <n v="570.84"/>
    <x v="87"/>
    <d v="2025-01-13T00:00:00"/>
    <x v="0"/>
    <x v="3"/>
    <x v="0"/>
    <x v="1"/>
    <x v="1"/>
    <x v="10"/>
  </r>
  <r>
    <s v="P389"/>
    <n v="56"/>
    <x v="0"/>
    <n v="34.6"/>
    <n v="135"/>
    <n v="63"/>
    <x v="0"/>
    <x v="1"/>
    <x v="3"/>
    <n v="3405.5"/>
    <x v="233"/>
    <d v="2025-07-11T00:00:00"/>
    <x v="0"/>
    <x v="2"/>
    <x v="0"/>
    <x v="1"/>
    <x v="1"/>
    <x v="12"/>
  </r>
  <r>
    <s v="P390"/>
    <n v="19"/>
    <x v="1"/>
    <n v="31.5"/>
    <n v="120"/>
    <n v="72"/>
    <x v="1"/>
    <x v="1"/>
    <x v="0"/>
    <n v="619.73"/>
    <x v="17"/>
    <d v="2024-10-19T00:00:00"/>
    <x v="1"/>
    <x v="0"/>
    <x v="0"/>
    <x v="0"/>
    <x v="0"/>
    <x v="7"/>
  </r>
  <r>
    <s v="P391"/>
    <n v="29"/>
    <x v="0"/>
    <n v="28.6"/>
    <n v="108"/>
    <n v="85"/>
    <x v="0"/>
    <x v="1"/>
    <x v="1"/>
    <n v="1660.5"/>
    <x v="220"/>
    <d v="2025-03-22T00:00:00"/>
    <x v="2"/>
    <x v="3"/>
    <x v="0"/>
    <x v="1"/>
    <x v="0"/>
    <x v="13"/>
  </r>
  <r>
    <s v="P392"/>
    <n v="22"/>
    <x v="0"/>
    <n v="21.1"/>
    <n v="174"/>
    <n v="92"/>
    <x v="1"/>
    <x v="1"/>
    <x v="4"/>
    <n v="518.80999999999995"/>
    <x v="242"/>
    <d v="2025-06-19T00:00:00"/>
    <x v="1"/>
    <x v="0"/>
    <x v="0"/>
    <x v="0"/>
    <x v="1"/>
    <x v="4"/>
  </r>
  <r>
    <s v="P393"/>
    <n v="64"/>
    <x v="0"/>
    <n v="22.8"/>
    <n v="158"/>
    <n v="119"/>
    <x v="0"/>
    <x v="1"/>
    <x v="2"/>
    <n v="1986.26"/>
    <x v="160"/>
    <d v="2025-01-28T00:00:00"/>
    <x v="1"/>
    <x v="2"/>
    <x v="0"/>
    <x v="1"/>
    <x v="1"/>
    <x v="10"/>
  </r>
  <r>
    <s v="P394"/>
    <n v="23"/>
    <x v="1"/>
    <n v="21.2"/>
    <n v="99"/>
    <n v="119"/>
    <x v="1"/>
    <x v="1"/>
    <x v="3"/>
    <n v="1941.05"/>
    <x v="243"/>
    <d v="2024-11-21T00:00:00"/>
    <x v="0"/>
    <x v="0"/>
    <x v="0"/>
    <x v="0"/>
    <x v="1"/>
    <x v="1"/>
  </r>
  <r>
    <s v="P395"/>
    <n v="89"/>
    <x v="0"/>
    <n v="37.700000000000003"/>
    <n v="105"/>
    <n v="73"/>
    <x v="1"/>
    <x v="1"/>
    <x v="4"/>
    <n v="2097.54"/>
    <x v="170"/>
    <d v="2025-03-31T00:00:00"/>
    <x v="1"/>
    <x v="4"/>
    <x v="0"/>
    <x v="0"/>
    <x v="0"/>
    <x v="8"/>
  </r>
  <r>
    <s v="P396"/>
    <n v="39"/>
    <x v="1"/>
    <n v="22.6"/>
    <n v="156"/>
    <n v="60"/>
    <x v="0"/>
    <x v="0"/>
    <x v="4"/>
    <n v="2082.94"/>
    <x v="177"/>
    <d v="2025-05-31T00:00:00"/>
    <x v="1"/>
    <x v="1"/>
    <x v="0"/>
    <x v="0"/>
    <x v="1"/>
    <x v="3"/>
  </r>
  <r>
    <s v="P397"/>
    <n v="70"/>
    <x v="1"/>
    <n v="24.4"/>
    <n v="161"/>
    <n v="104"/>
    <x v="0"/>
    <x v="1"/>
    <x v="4"/>
    <n v="4929.8"/>
    <x v="112"/>
    <d v="2025-08-17T00:00:00"/>
    <x v="2"/>
    <x v="4"/>
    <x v="0"/>
    <x v="1"/>
    <x v="1"/>
    <x v="13"/>
  </r>
  <r>
    <s v="P398"/>
    <n v="43"/>
    <x v="0"/>
    <n v="29.3"/>
    <n v="140"/>
    <n v="84"/>
    <x v="0"/>
    <x v="1"/>
    <x v="3"/>
    <n v="2172.54"/>
    <x v="244"/>
    <d v="2025-05-22T00:00:00"/>
    <x v="2"/>
    <x v="1"/>
    <x v="0"/>
    <x v="1"/>
    <x v="1"/>
    <x v="8"/>
  </r>
  <r>
    <s v="P399"/>
    <n v="60"/>
    <x v="0"/>
    <n v="39.299999999999997"/>
    <n v="114"/>
    <n v="73"/>
    <x v="0"/>
    <x v="1"/>
    <x v="1"/>
    <n v="1397.91"/>
    <x v="178"/>
    <d v="2024-12-04T00:00:00"/>
    <x v="0"/>
    <x v="2"/>
    <x v="0"/>
    <x v="1"/>
    <x v="0"/>
    <x v="10"/>
  </r>
  <r>
    <s v="P400"/>
    <n v="20"/>
    <x v="1"/>
    <n v="19.399999999999999"/>
    <n v="168"/>
    <n v="89"/>
    <x v="0"/>
    <x v="1"/>
    <x v="0"/>
    <n v="2723.76"/>
    <x v="245"/>
    <d v="2025-02-06T00:00:00"/>
    <x v="2"/>
    <x v="0"/>
    <x v="0"/>
    <x v="1"/>
    <x v="1"/>
    <x v="8"/>
  </r>
  <r>
    <s v="P401"/>
    <n v="57"/>
    <x v="1"/>
    <n v="19"/>
    <n v="173"/>
    <n v="105"/>
    <x v="0"/>
    <x v="0"/>
    <x v="4"/>
    <n v="1257.6400000000001"/>
    <x v="109"/>
    <d v="2024-12-24T00:00:00"/>
    <x v="1"/>
    <x v="2"/>
    <x v="0"/>
    <x v="0"/>
    <x v="1"/>
    <x v="5"/>
  </r>
  <r>
    <s v="P402"/>
    <n v="85"/>
    <x v="0"/>
    <n v="19.7"/>
    <n v="122"/>
    <n v="74"/>
    <x v="1"/>
    <x v="0"/>
    <x v="2"/>
    <n v="214.74"/>
    <x v="120"/>
    <d v="2024-12-08T00:00:00"/>
    <x v="2"/>
    <x v="4"/>
    <x v="1"/>
    <x v="0"/>
    <x v="0"/>
    <x v="7"/>
  </r>
  <r>
    <s v="P403"/>
    <n v="78"/>
    <x v="0"/>
    <n v="39.4"/>
    <n v="119"/>
    <n v="79"/>
    <x v="0"/>
    <x v="1"/>
    <x v="2"/>
    <n v="4983.26"/>
    <x v="45"/>
    <d v="2025-08-01T00:00:00"/>
    <x v="2"/>
    <x v="4"/>
    <x v="0"/>
    <x v="1"/>
    <x v="0"/>
    <x v="6"/>
  </r>
  <r>
    <s v="P404"/>
    <n v="45"/>
    <x v="0"/>
    <n v="24.6"/>
    <n v="132"/>
    <n v="95"/>
    <x v="0"/>
    <x v="1"/>
    <x v="3"/>
    <n v="3632.84"/>
    <x v="20"/>
    <d v="2024-11-07T00:00:00"/>
    <x v="1"/>
    <x v="1"/>
    <x v="0"/>
    <x v="1"/>
    <x v="1"/>
    <x v="5"/>
  </r>
  <r>
    <s v="P405"/>
    <n v="75"/>
    <x v="1"/>
    <n v="28.6"/>
    <n v="170"/>
    <n v="107"/>
    <x v="1"/>
    <x v="1"/>
    <x v="1"/>
    <n v="1246.6099999999999"/>
    <x v="153"/>
    <d v="2025-01-31T00:00:00"/>
    <x v="2"/>
    <x v="4"/>
    <x v="0"/>
    <x v="0"/>
    <x v="1"/>
    <x v="0"/>
  </r>
  <r>
    <s v="P406"/>
    <n v="79"/>
    <x v="1"/>
    <n v="35.4"/>
    <n v="110"/>
    <n v="114"/>
    <x v="0"/>
    <x v="1"/>
    <x v="3"/>
    <n v="1518.37"/>
    <x v="126"/>
    <d v="2025-03-02T00:00:00"/>
    <x v="0"/>
    <x v="4"/>
    <x v="0"/>
    <x v="1"/>
    <x v="1"/>
    <x v="13"/>
  </r>
  <r>
    <s v="P407"/>
    <n v="27"/>
    <x v="1"/>
    <n v="38.5"/>
    <n v="151"/>
    <n v="76"/>
    <x v="1"/>
    <x v="1"/>
    <x v="4"/>
    <n v="2772.08"/>
    <x v="75"/>
    <d v="2024-11-15T00:00:00"/>
    <x v="0"/>
    <x v="3"/>
    <x v="0"/>
    <x v="0"/>
    <x v="1"/>
    <x v="9"/>
  </r>
  <r>
    <s v="P408"/>
    <n v="90"/>
    <x v="1"/>
    <n v="23.6"/>
    <n v="129"/>
    <n v="100"/>
    <x v="1"/>
    <x v="1"/>
    <x v="4"/>
    <n v="1450.75"/>
    <x v="246"/>
    <d v="2025-09-25T00:00:00"/>
    <x v="2"/>
    <x v="4"/>
    <x v="0"/>
    <x v="0"/>
    <x v="1"/>
    <x v="5"/>
  </r>
  <r>
    <s v="P409"/>
    <n v="87"/>
    <x v="0"/>
    <n v="37.200000000000003"/>
    <n v="158"/>
    <n v="93"/>
    <x v="1"/>
    <x v="0"/>
    <x v="3"/>
    <n v="1856.38"/>
    <x v="209"/>
    <d v="2025-04-15T00:00:00"/>
    <x v="0"/>
    <x v="4"/>
    <x v="1"/>
    <x v="0"/>
    <x v="1"/>
    <x v="11"/>
  </r>
  <r>
    <s v="P410"/>
    <n v="55"/>
    <x v="0"/>
    <n v="39.4"/>
    <n v="161"/>
    <n v="100"/>
    <x v="1"/>
    <x v="1"/>
    <x v="4"/>
    <n v="1990.57"/>
    <x v="214"/>
    <d v="2025-03-17T00:00:00"/>
    <x v="0"/>
    <x v="2"/>
    <x v="0"/>
    <x v="0"/>
    <x v="1"/>
    <x v="6"/>
  </r>
  <r>
    <s v="P411"/>
    <n v="62"/>
    <x v="0"/>
    <n v="30.6"/>
    <n v="154"/>
    <n v="80"/>
    <x v="0"/>
    <x v="0"/>
    <x v="1"/>
    <n v="3584.41"/>
    <x v="184"/>
    <d v="2025-10-10T00:00:00"/>
    <x v="1"/>
    <x v="2"/>
    <x v="0"/>
    <x v="0"/>
    <x v="1"/>
    <x v="5"/>
  </r>
  <r>
    <s v="P412"/>
    <n v="20"/>
    <x v="1"/>
    <n v="18.899999999999999"/>
    <n v="98"/>
    <n v="103"/>
    <x v="0"/>
    <x v="0"/>
    <x v="4"/>
    <n v="3948.39"/>
    <x v="247"/>
    <d v="2024-12-25T00:00:00"/>
    <x v="0"/>
    <x v="0"/>
    <x v="0"/>
    <x v="0"/>
    <x v="1"/>
    <x v="8"/>
  </r>
  <r>
    <s v="P413"/>
    <n v="34"/>
    <x v="0"/>
    <n v="34"/>
    <n v="125"/>
    <n v="102"/>
    <x v="0"/>
    <x v="0"/>
    <x v="0"/>
    <n v="4376.08"/>
    <x v="88"/>
    <d v="2025-08-10T00:00:00"/>
    <x v="0"/>
    <x v="3"/>
    <x v="0"/>
    <x v="0"/>
    <x v="1"/>
    <x v="2"/>
  </r>
  <r>
    <s v="P414"/>
    <n v="63"/>
    <x v="0"/>
    <n v="19.2"/>
    <n v="98"/>
    <n v="115"/>
    <x v="1"/>
    <x v="0"/>
    <x v="2"/>
    <n v="1675.85"/>
    <x v="141"/>
    <d v="2025-05-05T00:00:00"/>
    <x v="2"/>
    <x v="2"/>
    <x v="1"/>
    <x v="0"/>
    <x v="1"/>
    <x v="3"/>
  </r>
  <r>
    <s v="P415"/>
    <n v="38"/>
    <x v="0"/>
    <n v="33.799999999999997"/>
    <n v="134"/>
    <n v="92"/>
    <x v="1"/>
    <x v="1"/>
    <x v="1"/>
    <n v="113.24"/>
    <x v="59"/>
    <d v="2024-10-27T00:00:00"/>
    <x v="1"/>
    <x v="1"/>
    <x v="0"/>
    <x v="0"/>
    <x v="1"/>
    <x v="10"/>
  </r>
  <r>
    <s v="P416"/>
    <n v="36"/>
    <x v="0"/>
    <n v="30.9"/>
    <n v="153"/>
    <n v="86"/>
    <x v="0"/>
    <x v="0"/>
    <x v="3"/>
    <n v="2997.14"/>
    <x v="113"/>
    <d v="2025-02-12T00:00:00"/>
    <x v="0"/>
    <x v="1"/>
    <x v="0"/>
    <x v="0"/>
    <x v="1"/>
    <x v="8"/>
  </r>
  <r>
    <s v="P417"/>
    <n v="60"/>
    <x v="1"/>
    <n v="38.299999999999997"/>
    <n v="106"/>
    <n v="107"/>
    <x v="1"/>
    <x v="0"/>
    <x v="0"/>
    <n v="1788.73"/>
    <x v="248"/>
    <d v="2024-11-09T00:00:00"/>
    <x v="2"/>
    <x v="2"/>
    <x v="1"/>
    <x v="0"/>
    <x v="1"/>
    <x v="8"/>
  </r>
  <r>
    <s v="P418"/>
    <n v="76"/>
    <x v="0"/>
    <n v="22.6"/>
    <n v="117"/>
    <n v="87"/>
    <x v="1"/>
    <x v="1"/>
    <x v="0"/>
    <n v="2404.56"/>
    <x v="117"/>
    <d v="2025-07-18T00:00:00"/>
    <x v="1"/>
    <x v="4"/>
    <x v="0"/>
    <x v="0"/>
    <x v="0"/>
    <x v="9"/>
  </r>
  <r>
    <s v="P419"/>
    <n v="79"/>
    <x v="0"/>
    <n v="36"/>
    <n v="148"/>
    <n v="118"/>
    <x v="1"/>
    <x v="0"/>
    <x v="4"/>
    <n v="411.34"/>
    <x v="249"/>
    <d v="2025-02-24T00:00:00"/>
    <x v="1"/>
    <x v="4"/>
    <x v="1"/>
    <x v="0"/>
    <x v="1"/>
    <x v="9"/>
  </r>
  <r>
    <s v="P420"/>
    <n v="56"/>
    <x v="0"/>
    <n v="29.4"/>
    <n v="148"/>
    <n v="113"/>
    <x v="1"/>
    <x v="0"/>
    <x v="2"/>
    <n v="3848.4"/>
    <x v="250"/>
    <d v="2025-08-24T00:00:00"/>
    <x v="2"/>
    <x v="2"/>
    <x v="1"/>
    <x v="0"/>
    <x v="1"/>
    <x v="1"/>
  </r>
  <r>
    <s v="P421"/>
    <n v="52"/>
    <x v="1"/>
    <n v="18.2"/>
    <n v="111"/>
    <n v="119"/>
    <x v="0"/>
    <x v="0"/>
    <x v="3"/>
    <n v="3402.11"/>
    <x v="251"/>
    <d v="2025-03-26T00:00:00"/>
    <x v="0"/>
    <x v="2"/>
    <x v="0"/>
    <x v="0"/>
    <x v="1"/>
    <x v="11"/>
  </r>
  <r>
    <s v="P422"/>
    <n v="87"/>
    <x v="0"/>
    <n v="39.4"/>
    <n v="114"/>
    <n v="64"/>
    <x v="1"/>
    <x v="1"/>
    <x v="4"/>
    <n v="810.57"/>
    <x v="12"/>
    <d v="2025-02-16T00:00:00"/>
    <x v="1"/>
    <x v="4"/>
    <x v="0"/>
    <x v="0"/>
    <x v="0"/>
    <x v="12"/>
  </r>
  <r>
    <s v="P423"/>
    <n v="51"/>
    <x v="0"/>
    <n v="23.4"/>
    <n v="180"/>
    <n v="106"/>
    <x v="1"/>
    <x v="1"/>
    <x v="0"/>
    <n v="1162.79"/>
    <x v="145"/>
    <d v="2025-10-10T00:00:00"/>
    <x v="1"/>
    <x v="2"/>
    <x v="0"/>
    <x v="0"/>
    <x v="1"/>
    <x v="11"/>
  </r>
  <r>
    <s v="P424"/>
    <n v="36"/>
    <x v="1"/>
    <n v="32.299999999999997"/>
    <n v="130"/>
    <n v="104"/>
    <x v="0"/>
    <x v="0"/>
    <x v="0"/>
    <n v="2094.1"/>
    <x v="150"/>
    <d v="2025-02-09T00:00:00"/>
    <x v="2"/>
    <x v="1"/>
    <x v="0"/>
    <x v="0"/>
    <x v="1"/>
    <x v="8"/>
  </r>
  <r>
    <s v="P425"/>
    <n v="32"/>
    <x v="0"/>
    <n v="26.7"/>
    <n v="143"/>
    <n v="113"/>
    <x v="1"/>
    <x v="1"/>
    <x v="3"/>
    <n v="2976.07"/>
    <x v="230"/>
    <d v="2024-11-28T00:00:00"/>
    <x v="1"/>
    <x v="3"/>
    <x v="0"/>
    <x v="0"/>
    <x v="1"/>
    <x v="10"/>
  </r>
  <r>
    <s v="P426"/>
    <n v="32"/>
    <x v="0"/>
    <n v="37.1"/>
    <n v="163"/>
    <n v="93"/>
    <x v="1"/>
    <x v="1"/>
    <x v="3"/>
    <n v="4583.1899999999996"/>
    <x v="186"/>
    <d v="2024-10-25T00:00:00"/>
    <x v="1"/>
    <x v="3"/>
    <x v="0"/>
    <x v="0"/>
    <x v="1"/>
    <x v="6"/>
  </r>
  <r>
    <s v="P427"/>
    <n v="51"/>
    <x v="0"/>
    <n v="18.600000000000001"/>
    <n v="152"/>
    <n v="81"/>
    <x v="1"/>
    <x v="0"/>
    <x v="0"/>
    <n v="2236.06"/>
    <x v="197"/>
    <d v="2025-07-28T00:00:00"/>
    <x v="0"/>
    <x v="2"/>
    <x v="1"/>
    <x v="0"/>
    <x v="1"/>
    <x v="1"/>
  </r>
  <r>
    <s v="P428"/>
    <n v="32"/>
    <x v="0"/>
    <n v="36"/>
    <n v="111"/>
    <n v="101"/>
    <x v="0"/>
    <x v="1"/>
    <x v="3"/>
    <n v="3543.83"/>
    <x v="162"/>
    <d v="2025-08-18T00:00:00"/>
    <x v="0"/>
    <x v="3"/>
    <x v="0"/>
    <x v="1"/>
    <x v="1"/>
    <x v="10"/>
  </r>
  <r>
    <s v="P429"/>
    <n v="56"/>
    <x v="1"/>
    <n v="30"/>
    <n v="97"/>
    <n v="65"/>
    <x v="1"/>
    <x v="1"/>
    <x v="0"/>
    <n v="2884.04"/>
    <x v="209"/>
    <d v="2025-04-06T00:00:00"/>
    <x v="2"/>
    <x v="2"/>
    <x v="0"/>
    <x v="0"/>
    <x v="0"/>
    <x v="7"/>
  </r>
  <r>
    <s v="P430"/>
    <n v="29"/>
    <x v="1"/>
    <n v="19.2"/>
    <n v="96"/>
    <n v="62"/>
    <x v="1"/>
    <x v="0"/>
    <x v="0"/>
    <n v="1670.92"/>
    <x v="252"/>
    <d v="2025-09-22T00:00:00"/>
    <x v="1"/>
    <x v="3"/>
    <x v="1"/>
    <x v="0"/>
    <x v="0"/>
    <x v="2"/>
  </r>
  <r>
    <s v="P431"/>
    <n v="64"/>
    <x v="1"/>
    <n v="26.1"/>
    <n v="137"/>
    <n v="119"/>
    <x v="1"/>
    <x v="0"/>
    <x v="0"/>
    <n v="2103.19"/>
    <x v="253"/>
    <d v="2024-10-28T00:00:00"/>
    <x v="2"/>
    <x v="2"/>
    <x v="1"/>
    <x v="0"/>
    <x v="1"/>
    <x v="12"/>
  </r>
  <r>
    <s v="P432"/>
    <n v="54"/>
    <x v="0"/>
    <n v="30"/>
    <n v="92"/>
    <n v="62"/>
    <x v="0"/>
    <x v="0"/>
    <x v="1"/>
    <n v="2337.38"/>
    <x v="254"/>
    <d v="2025-03-26T00:00:00"/>
    <x v="0"/>
    <x v="2"/>
    <x v="0"/>
    <x v="0"/>
    <x v="0"/>
    <x v="10"/>
  </r>
  <r>
    <s v="P433"/>
    <n v="55"/>
    <x v="0"/>
    <n v="21.6"/>
    <n v="108"/>
    <n v="64"/>
    <x v="0"/>
    <x v="0"/>
    <x v="3"/>
    <n v="4890.93"/>
    <x v="187"/>
    <d v="2024-12-09T00:00:00"/>
    <x v="0"/>
    <x v="2"/>
    <x v="0"/>
    <x v="0"/>
    <x v="0"/>
    <x v="9"/>
  </r>
  <r>
    <s v="P434"/>
    <n v="62"/>
    <x v="1"/>
    <n v="27.1"/>
    <n v="161"/>
    <n v="83"/>
    <x v="1"/>
    <x v="0"/>
    <x v="0"/>
    <n v="1999.28"/>
    <x v="255"/>
    <d v="2025-09-09T00:00:00"/>
    <x v="0"/>
    <x v="2"/>
    <x v="1"/>
    <x v="0"/>
    <x v="1"/>
    <x v="6"/>
  </r>
  <r>
    <s v="P435"/>
    <n v="25"/>
    <x v="0"/>
    <n v="24.7"/>
    <n v="143"/>
    <n v="70"/>
    <x v="1"/>
    <x v="0"/>
    <x v="2"/>
    <n v="958.79"/>
    <x v="93"/>
    <d v="2025-03-27T00:00:00"/>
    <x v="1"/>
    <x v="3"/>
    <x v="1"/>
    <x v="0"/>
    <x v="1"/>
    <x v="9"/>
  </r>
  <r>
    <s v="P436"/>
    <n v="43"/>
    <x v="0"/>
    <n v="35"/>
    <n v="177"/>
    <n v="106"/>
    <x v="1"/>
    <x v="0"/>
    <x v="4"/>
    <n v="2606.06"/>
    <x v="23"/>
    <d v="2025-01-29T00:00:00"/>
    <x v="1"/>
    <x v="1"/>
    <x v="1"/>
    <x v="0"/>
    <x v="1"/>
    <x v="12"/>
  </r>
  <r>
    <s v="P437"/>
    <n v="88"/>
    <x v="0"/>
    <n v="28.6"/>
    <n v="106"/>
    <n v="79"/>
    <x v="0"/>
    <x v="0"/>
    <x v="4"/>
    <n v="3022.09"/>
    <x v="58"/>
    <d v="2025-09-03T00:00:00"/>
    <x v="1"/>
    <x v="4"/>
    <x v="0"/>
    <x v="0"/>
    <x v="0"/>
    <x v="12"/>
  </r>
  <r>
    <s v="P438"/>
    <n v="63"/>
    <x v="0"/>
    <n v="22"/>
    <n v="161"/>
    <n v="84"/>
    <x v="1"/>
    <x v="1"/>
    <x v="3"/>
    <n v="1866.38"/>
    <x v="80"/>
    <d v="2025-09-29T00:00:00"/>
    <x v="0"/>
    <x v="2"/>
    <x v="0"/>
    <x v="0"/>
    <x v="1"/>
    <x v="11"/>
  </r>
  <r>
    <s v="P439"/>
    <n v="46"/>
    <x v="0"/>
    <n v="26.8"/>
    <n v="149"/>
    <n v="104"/>
    <x v="1"/>
    <x v="0"/>
    <x v="4"/>
    <n v="1281.56"/>
    <x v="244"/>
    <d v="2025-05-23T00:00:00"/>
    <x v="2"/>
    <x v="1"/>
    <x v="1"/>
    <x v="0"/>
    <x v="1"/>
    <x v="0"/>
  </r>
  <r>
    <s v="P440"/>
    <n v="30"/>
    <x v="0"/>
    <n v="28.4"/>
    <n v="108"/>
    <n v="83"/>
    <x v="0"/>
    <x v="1"/>
    <x v="4"/>
    <n v="849.24"/>
    <x v="256"/>
    <d v="2025-08-27T00:00:00"/>
    <x v="2"/>
    <x v="3"/>
    <x v="0"/>
    <x v="1"/>
    <x v="0"/>
    <x v="9"/>
  </r>
  <r>
    <s v="P441"/>
    <n v="57"/>
    <x v="1"/>
    <n v="27.9"/>
    <n v="93"/>
    <n v="114"/>
    <x v="1"/>
    <x v="1"/>
    <x v="1"/>
    <n v="3592.34"/>
    <x v="9"/>
    <d v="2024-10-06T00:00:00"/>
    <x v="0"/>
    <x v="2"/>
    <x v="0"/>
    <x v="0"/>
    <x v="1"/>
    <x v="6"/>
  </r>
  <r>
    <s v="P442"/>
    <n v="58"/>
    <x v="1"/>
    <n v="23.9"/>
    <n v="164"/>
    <n v="88"/>
    <x v="0"/>
    <x v="0"/>
    <x v="0"/>
    <n v="3042.47"/>
    <x v="30"/>
    <d v="2025-06-16T00:00:00"/>
    <x v="0"/>
    <x v="2"/>
    <x v="0"/>
    <x v="0"/>
    <x v="1"/>
    <x v="4"/>
  </r>
  <r>
    <s v="P443"/>
    <n v="71"/>
    <x v="0"/>
    <n v="27.7"/>
    <n v="122"/>
    <n v="66"/>
    <x v="1"/>
    <x v="0"/>
    <x v="1"/>
    <n v="2132.65"/>
    <x v="54"/>
    <d v="2025-09-01T00:00:00"/>
    <x v="1"/>
    <x v="4"/>
    <x v="1"/>
    <x v="0"/>
    <x v="0"/>
    <x v="3"/>
  </r>
  <r>
    <s v="P444"/>
    <n v="87"/>
    <x v="0"/>
    <n v="21.4"/>
    <n v="117"/>
    <n v="80"/>
    <x v="0"/>
    <x v="1"/>
    <x v="1"/>
    <n v="2133.85"/>
    <x v="257"/>
    <d v="2025-08-02T00:00:00"/>
    <x v="0"/>
    <x v="4"/>
    <x v="0"/>
    <x v="1"/>
    <x v="0"/>
    <x v="6"/>
  </r>
  <r>
    <s v="P445"/>
    <n v="75"/>
    <x v="1"/>
    <n v="27.5"/>
    <n v="147"/>
    <n v="112"/>
    <x v="0"/>
    <x v="0"/>
    <x v="0"/>
    <n v="181.09"/>
    <x v="119"/>
    <d v="2025-09-18T00:00:00"/>
    <x v="2"/>
    <x v="4"/>
    <x v="0"/>
    <x v="0"/>
    <x v="1"/>
    <x v="12"/>
  </r>
  <r>
    <s v="P446"/>
    <n v="21"/>
    <x v="0"/>
    <n v="34.799999999999997"/>
    <n v="180"/>
    <n v="70"/>
    <x v="0"/>
    <x v="1"/>
    <x v="3"/>
    <n v="861.07"/>
    <x v="36"/>
    <d v="2025-07-02T00:00:00"/>
    <x v="1"/>
    <x v="0"/>
    <x v="0"/>
    <x v="1"/>
    <x v="1"/>
    <x v="1"/>
  </r>
  <r>
    <s v="P447"/>
    <n v="71"/>
    <x v="0"/>
    <n v="21.2"/>
    <n v="110"/>
    <n v="104"/>
    <x v="1"/>
    <x v="0"/>
    <x v="2"/>
    <n v="2307.23"/>
    <x v="59"/>
    <d v="2024-11-04T00:00:00"/>
    <x v="1"/>
    <x v="4"/>
    <x v="1"/>
    <x v="0"/>
    <x v="1"/>
    <x v="11"/>
  </r>
  <r>
    <s v="P448"/>
    <n v="56"/>
    <x v="0"/>
    <n v="27.6"/>
    <n v="111"/>
    <n v="91"/>
    <x v="0"/>
    <x v="1"/>
    <x v="3"/>
    <n v="325.98"/>
    <x v="249"/>
    <d v="2025-03-03T00:00:00"/>
    <x v="0"/>
    <x v="2"/>
    <x v="0"/>
    <x v="1"/>
    <x v="1"/>
    <x v="3"/>
  </r>
  <r>
    <s v="P449"/>
    <n v="82"/>
    <x v="0"/>
    <n v="21.9"/>
    <n v="160"/>
    <n v="111"/>
    <x v="1"/>
    <x v="0"/>
    <x v="1"/>
    <n v="4802.75"/>
    <x v="148"/>
    <d v="2025-03-07T00:00:00"/>
    <x v="2"/>
    <x v="4"/>
    <x v="1"/>
    <x v="0"/>
    <x v="1"/>
    <x v="9"/>
  </r>
  <r>
    <s v="P450"/>
    <n v="56"/>
    <x v="1"/>
    <n v="18.100000000000001"/>
    <n v="150"/>
    <n v="89"/>
    <x v="0"/>
    <x v="0"/>
    <x v="3"/>
    <n v="2232.9499999999998"/>
    <x v="210"/>
    <d v="2024-11-01T00:00:00"/>
    <x v="0"/>
    <x v="2"/>
    <x v="0"/>
    <x v="0"/>
    <x v="1"/>
    <x v="8"/>
  </r>
  <r>
    <s v="P451"/>
    <n v="53"/>
    <x v="0"/>
    <n v="34"/>
    <n v="117"/>
    <n v="90"/>
    <x v="1"/>
    <x v="0"/>
    <x v="1"/>
    <n v="158.84"/>
    <x v="192"/>
    <d v="2025-06-16T00:00:00"/>
    <x v="0"/>
    <x v="2"/>
    <x v="1"/>
    <x v="0"/>
    <x v="0"/>
    <x v="13"/>
  </r>
  <r>
    <s v="P452"/>
    <n v="60"/>
    <x v="1"/>
    <n v="37.200000000000003"/>
    <n v="108"/>
    <n v="75"/>
    <x v="1"/>
    <x v="1"/>
    <x v="0"/>
    <n v="2556.94"/>
    <x v="160"/>
    <d v="2025-02-03T00:00:00"/>
    <x v="2"/>
    <x v="2"/>
    <x v="0"/>
    <x v="0"/>
    <x v="0"/>
    <x v="8"/>
  </r>
  <r>
    <s v="P453"/>
    <n v="31"/>
    <x v="0"/>
    <n v="18.2"/>
    <n v="110"/>
    <n v="117"/>
    <x v="0"/>
    <x v="1"/>
    <x v="2"/>
    <n v="2940.48"/>
    <x v="116"/>
    <d v="2025-03-29T00:00:00"/>
    <x v="1"/>
    <x v="3"/>
    <x v="0"/>
    <x v="1"/>
    <x v="1"/>
    <x v="4"/>
  </r>
  <r>
    <s v="P454"/>
    <n v="65"/>
    <x v="1"/>
    <n v="18.899999999999999"/>
    <n v="104"/>
    <n v="94"/>
    <x v="1"/>
    <x v="0"/>
    <x v="1"/>
    <n v="1376.99"/>
    <x v="100"/>
    <d v="2025-05-02T00:00:00"/>
    <x v="0"/>
    <x v="2"/>
    <x v="1"/>
    <x v="0"/>
    <x v="1"/>
    <x v="3"/>
  </r>
  <r>
    <s v="P455"/>
    <n v="39"/>
    <x v="1"/>
    <n v="29.4"/>
    <n v="150"/>
    <n v="67"/>
    <x v="0"/>
    <x v="1"/>
    <x v="3"/>
    <n v="4871.68"/>
    <x v="258"/>
    <d v="2024-11-16T00:00:00"/>
    <x v="1"/>
    <x v="1"/>
    <x v="0"/>
    <x v="1"/>
    <x v="1"/>
    <x v="6"/>
  </r>
  <r>
    <s v="P456"/>
    <n v="57"/>
    <x v="1"/>
    <n v="24.5"/>
    <n v="149"/>
    <n v="79"/>
    <x v="0"/>
    <x v="1"/>
    <x v="1"/>
    <n v="2645.45"/>
    <x v="93"/>
    <d v="2025-04-08T00:00:00"/>
    <x v="2"/>
    <x v="2"/>
    <x v="0"/>
    <x v="1"/>
    <x v="1"/>
    <x v="12"/>
  </r>
  <r>
    <s v="P457"/>
    <n v="81"/>
    <x v="0"/>
    <n v="31.1"/>
    <n v="135"/>
    <n v="90"/>
    <x v="1"/>
    <x v="1"/>
    <x v="1"/>
    <n v="2177.31"/>
    <x v="45"/>
    <d v="2025-08-01T00:00:00"/>
    <x v="2"/>
    <x v="4"/>
    <x v="0"/>
    <x v="0"/>
    <x v="1"/>
    <x v="6"/>
  </r>
  <r>
    <s v="P458"/>
    <n v="80"/>
    <x v="1"/>
    <n v="36.799999999999997"/>
    <n v="96"/>
    <n v="98"/>
    <x v="0"/>
    <x v="1"/>
    <x v="4"/>
    <n v="1843.86"/>
    <x v="234"/>
    <d v="2025-05-04T00:00:00"/>
    <x v="0"/>
    <x v="4"/>
    <x v="0"/>
    <x v="1"/>
    <x v="1"/>
    <x v="12"/>
  </r>
  <r>
    <s v="P459"/>
    <n v="87"/>
    <x v="0"/>
    <n v="36.200000000000003"/>
    <n v="170"/>
    <n v="68"/>
    <x v="1"/>
    <x v="1"/>
    <x v="0"/>
    <n v="3765.15"/>
    <x v="219"/>
    <d v="2025-09-24T00:00:00"/>
    <x v="2"/>
    <x v="4"/>
    <x v="0"/>
    <x v="0"/>
    <x v="1"/>
    <x v="0"/>
  </r>
  <r>
    <s v="P460"/>
    <n v="43"/>
    <x v="0"/>
    <n v="31.3"/>
    <n v="111"/>
    <n v="83"/>
    <x v="1"/>
    <x v="1"/>
    <x v="4"/>
    <n v="4989.45"/>
    <x v="190"/>
    <d v="2024-12-26T00:00:00"/>
    <x v="2"/>
    <x v="1"/>
    <x v="0"/>
    <x v="0"/>
    <x v="0"/>
    <x v="7"/>
  </r>
  <r>
    <s v="P461"/>
    <n v="25"/>
    <x v="0"/>
    <n v="23.3"/>
    <n v="137"/>
    <n v="84"/>
    <x v="1"/>
    <x v="1"/>
    <x v="1"/>
    <n v="2451.3200000000002"/>
    <x v="56"/>
    <d v="2024-11-23T00:00:00"/>
    <x v="2"/>
    <x v="3"/>
    <x v="0"/>
    <x v="0"/>
    <x v="1"/>
    <x v="3"/>
  </r>
  <r>
    <s v="P462"/>
    <n v="30"/>
    <x v="1"/>
    <n v="33.700000000000003"/>
    <n v="151"/>
    <n v="62"/>
    <x v="1"/>
    <x v="1"/>
    <x v="4"/>
    <n v="2073.4"/>
    <x v="84"/>
    <d v="2025-05-27T00:00:00"/>
    <x v="2"/>
    <x v="3"/>
    <x v="0"/>
    <x v="0"/>
    <x v="1"/>
    <x v="12"/>
  </r>
  <r>
    <s v="P463"/>
    <n v="70"/>
    <x v="0"/>
    <n v="30.6"/>
    <n v="91"/>
    <n v="113"/>
    <x v="1"/>
    <x v="1"/>
    <x v="2"/>
    <n v="1648.81"/>
    <x v="242"/>
    <d v="2025-06-23T00:00:00"/>
    <x v="1"/>
    <x v="4"/>
    <x v="0"/>
    <x v="0"/>
    <x v="1"/>
    <x v="13"/>
  </r>
  <r>
    <s v="P464"/>
    <n v="38"/>
    <x v="1"/>
    <n v="26.3"/>
    <n v="106"/>
    <n v="93"/>
    <x v="0"/>
    <x v="0"/>
    <x v="0"/>
    <n v="559.57000000000005"/>
    <x v="191"/>
    <d v="2025-08-15T00:00:00"/>
    <x v="1"/>
    <x v="1"/>
    <x v="0"/>
    <x v="0"/>
    <x v="1"/>
    <x v="5"/>
  </r>
  <r>
    <s v="P465"/>
    <n v="27"/>
    <x v="1"/>
    <n v="28.3"/>
    <n v="105"/>
    <n v="72"/>
    <x v="0"/>
    <x v="0"/>
    <x v="2"/>
    <n v="1916"/>
    <x v="116"/>
    <d v="2025-04-02T00:00:00"/>
    <x v="1"/>
    <x v="3"/>
    <x v="0"/>
    <x v="0"/>
    <x v="0"/>
    <x v="13"/>
  </r>
  <r>
    <s v="P466"/>
    <n v="18"/>
    <x v="1"/>
    <n v="30.4"/>
    <n v="173"/>
    <n v="76"/>
    <x v="1"/>
    <x v="0"/>
    <x v="2"/>
    <n v="4109.37"/>
    <x v="248"/>
    <d v="2024-11-12T00:00:00"/>
    <x v="1"/>
    <x v="0"/>
    <x v="1"/>
    <x v="0"/>
    <x v="1"/>
    <x v="12"/>
  </r>
  <r>
    <s v="P467"/>
    <n v="27"/>
    <x v="0"/>
    <n v="31.4"/>
    <n v="148"/>
    <n v="110"/>
    <x v="0"/>
    <x v="0"/>
    <x v="1"/>
    <n v="4992.09"/>
    <x v="259"/>
    <d v="2025-01-21T00:00:00"/>
    <x v="0"/>
    <x v="3"/>
    <x v="0"/>
    <x v="0"/>
    <x v="1"/>
    <x v="7"/>
  </r>
  <r>
    <s v="P468"/>
    <n v="76"/>
    <x v="1"/>
    <n v="28.1"/>
    <n v="157"/>
    <n v="91"/>
    <x v="0"/>
    <x v="0"/>
    <x v="0"/>
    <n v="2823.57"/>
    <x v="46"/>
    <d v="2024-12-25T00:00:00"/>
    <x v="2"/>
    <x v="4"/>
    <x v="0"/>
    <x v="0"/>
    <x v="1"/>
    <x v="7"/>
  </r>
  <r>
    <s v="P469"/>
    <n v="21"/>
    <x v="0"/>
    <n v="18.8"/>
    <n v="101"/>
    <n v="101"/>
    <x v="0"/>
    <x v="0"/>
    <x v="4"/>
    <n v="4853.3"/>
    <x v="260"/>
    <d v="2025-01-26T00:00:00"/>
    <x v="1"/>
    <x v="0"/>
    <x v="0"/>
    <x v="0"/>
    <x v="1"/>
    <x v="0"/>
  </r>
  <r>
    <s v="P470"/>
    <n v="74"/>
    <x v="1"/>
    <n v="36.700000000000003"/>
    <n v="161"/>
    <n v="77"/>
    <x v="0"/>
    <x v="0"/>
    <x v="3"/>
    <n v="2131.4"/>
    <x v="46"/>
    <d v="2025-01-01T00:00:00"/>
    <x v="0"/>
    <x v="4"/>
    <x v="0"/>
    <x v="0"/>
    <x v="1"/>
    <x v="8"/>
  </r>
  <r>
    <s v="P471"/>
    <n v="46"/>
    <x v="1"/>
    <n v="36"/>
    <n v="102"/>
    <n v="93"/>
    <x v="0"/>
    <x v="1"/>
    <x v="1"/>
    <n v="1541.38"/>
    <x v="90"/>
    <d v="2025-01-02T00:00:00"/>
    <x v="1"/>
    <x v="1"/>
    <x v="0"/>
    <x v="1"/>
    <x v="1"/>
    <x v="13"/>
  </r>
  <r>
    <s v="P472"/>
    <n v="54"/>
    <x v="1"/>
    <n v="36.6"/>
    <n v="168"/>
    <n v="118"/>
    <x v="0"/>
    <x v="1"/>
    <x v="1"/>
    <n v="4003.18"/>
    <x v="261"/>
    <d v="2024-11-17T00:00:00"/>
    <x v="0"/>
    <x v="2"/>
    <x v="0"/>
    <x v="1"/>
    <x v="1"/>
    <x v="5"/>
  </r>
  <r>
    <s v="P473"/>
    <n v="24"/>
    <x v="0"/>
    <n v="18.3"/>
    <n v="156"/>
    <n v="80"/>
    <x v="1"/>
    <x v="1"/>
    <x v="1"/>
    <n v="4426.88"/>
    <x v="81"/>
    <d v="2025-01-22T00:00:00"/>
    <x v="1"/>
    <x v="0"/>
    <x v="0"/>
    <x v="0"/>
    <x v="1"/>
    <x v="3"/>
  </r>
  <r>
    <s v="P474"/>
    <n v="77"/>
    <x v="0"/>
    <n v="28.9"/>
    <n v="128"/>
    <n v="109"/>
    <x v="0"/>
    <x v="0"/>
    <x v="0"/>
    <n v="1957.24"/>
    <x v="262"/>
    <d v="2025-10-03T00:00:00"/>
    <x v="0"/>
    <x v="4"/>
    <x v="0"/>
    <x v="0"/>
    <x v="1"/>
    <x v="5"/>
  </r>
  <r>
    <s v="P475"/>
    <n v="83"/>
    <x v="1"/>
    <n v="25.4"/>
    <n v="160"/>
    <n v="116"/>
    <x v="1"/>
    <x v="0"/>
    <x v="4"/>
    <n v="3109.38"/>
    <x v="104"/>
    <d v="2024-11-22T00:00:00"/>
    <x v="1"/>
    <x v="4"/>
    <x v="1"/>
    <x v="0"/>
    <x v="1"/>
    <x v="1"/>
  </r>
  <r>
    <s v="P476"/>
    <n v="50"/>
    <x v="0"/>
    <n v="32.9"/>
    <n v="131"/>
    <n v="104"/>
    <x v="1"/>
    <x v="0"/>
    <x v="1"/>
    <n v="2035.49"/>
    <x v="50"/>
    <d v="2024-11-14T00:00:00"/>
    <x v="0"/>
    <x v="1"/>
    <x v="1"/>
    <x v="0"/>
    <x v="1"/>
    <x v="2"/>
  </r>
  <r>
    <s v="P477"/>
    <n v="58"/>
    <x v="0"/>
    <n v="31"/>
    <n v="149"/>
    <n v="90"/>
    <x v="1"/>
    <x v="0"/>
    <x v="1"/>
    <n v="267.81"/>
    <x v="263"/>
    <d v="2025-05-17T00:00:00"/>
    <x v="2"/>
    <x v="2"/>
    <x v="1"/>
    <x v="0"/>
    <x v="1"/>
    <x v="12"/>
  </r>
  <r>
    <s v="P478"/>
    <n v="29"/>
    <x v="0"/>
    <n v="23.4"/>
    <n v="119"/>
    <n v="103"/>
    <x v="0"/>
    <x v="1"/>
    <x v="1"/>
    <n v="4407.32"/>
    <x v="264"/>
    <d v="2025-06-08T00:00:00"/>
    <x v="0"/>
    <x v="3"/>
    <x v="0"/>
    <x v="1"/>
    <x v="1"/>
    <x v="13"/>
  </r>
  <r>
    <s v="P479"/>
    <n v="63"/>
    <x v="1"/>
    <n v="23.8"/>
    <n v="135"/>
    <n v="119"/>
    <x v="0"/>
    <x v="0"/>
    <x v="4"/>
    <n v="1773.35"/>
    <x v="265"/>
    <d v="2025-01-06T00:00:00"/>
    <x v="0"/>
    <x v="2"/>
    <x v="0"/>
    <x v="0"/>
    <x v="1"/>
    <x v="1"/>
  </r>
  <r>
    <s v="P480"/>
    <n v="57"/>
    <x v="1"/>
    <n v="27.6"/>
    <n v="173"/>
    <n v="63"/>
    <x v="0"/>
    <x v="1"/>
    <x v="4"/>
    <n v="3284.22"/>
    <x v="165"/>
    <d v="2025-03-02T00:00:00"/>
    <x v="2"/>
    <x v="2"/>
    <x v="0"/>
    <x v="1"/>
    <x v="1"/>
    <x v="4"/>
  </r>
  <r>
    <s v="P481"/>
    <n v="65"/>
    <x v="1"/>
    <n v="27.5"/>
    <n v="124"/>
    <n v="73"/>
    <x v="1"/>
    <x v="0"/>
    <x v="2"/>
    <n v="2982.39"/>
    <x v="248"/>
    <d v="2024-11-04T00:00:00"/>
    <x v="1"/>
    <x v="2"/>
    <x v="1"/>
    <x v="0"/>
    <x v="0"/>
    <x v="4"/>
  </r>
  <r>
    <s v="P482"/>
    <n v="23"/>
    <x v="1"/>
    <n v="27"/>
    <n v="138"/>
    <n v="101"/>
    <x v="0"/>
    <x v="1"/>
    <x v="1"/>
    <n v="3665.93"/>
    <x v="135"/>
    <d v="2024-11-07T00:00:00"/>
    <x v="1"/>
    <x v="0"/>
    <x v="0"/>
    <x v="1"/>
    <x v="1"/>
    <x v="4"/>
  </r>
  <r>
    <s v="P483"/>
    <n v="63"/>
    <x v="1"/>
    <n v="28.7"/>
    <n v="129"/>
    <n v="99"/>
    <x v="0"/>
    <x v="0"/>
    <x v="2"/>
    <n v="2708.55"/>
    <x v="89"/>
    <d v="2024-12-23T00:00:00"/>
    <x v="0"/>
    <x v="2"/>
    <x v="0"/>
    <x v="0"/>
    <x v="1"/>
    <x v="7"/>
  </r>
  <r>
    <s v="P484"/>
    <n v="43"/>
    <x v="0"/>
    <n v="38.799999999999997"/>
    <n v="144"/>
    <n v="93"/>
    <x v="0"/>
    <x v="1"/>
    <x v="2"/>
    <n v="1860.21"/>
    <x v="211"/>
    <d v="2025-05-06T00:00:00"/>
    <x v="1"/>
    <x v="1"/>
    <x v="0"/>
    <x v="1"/>
    <x v="1"/>
    <x v="6"/>
  </r>
  <r>
    <s v="P485"/>
    <n v="26"/>
    <x v="1"/>
    <n v="35.5"/>
    <n v="100"/>
    <n v="73"/>
    <x v="0"/>
    <x v="0"/>
    <x v="4"/>
    <n v="885.51"/>
    <x v="138"/>
    <d v="2025-01-01T00:00:00"/>
    <x v="1"/>
    <x v="3"/>
    <x v="0"/>
    <x v="0"/>
    <x v="0"/>
    <x v="9"/>
  </r>
  <r>
    <s v="P486"/>
    <n v="53"/>
    <x v="1"/>
    <n v="27.6"/>
    <n v="121"/>
    <n v="113"/>
    <x v="1"/>
    <x v="1"/>
    <x v="2"/>
    <n v="4928.8500000000004"/>
    <x v="262"/>
    <d v="2025-10-04T00:00:00"/>
    <x v="0"/>
    <x v="2"/>
    <x v="0"/>
    <x v="0"/>
    <x v="1"/>
    <x v="2"/>
  </r>
  <r>
    <s v="P487"/>
    <n v="24"/>
    <x v="0"/>
    <n v="30.8"/>
    <n v="160"/>
    <n v="71"/>
    <x v="0"/>
    <x v="0"/>
    <x v="1"/>
    <n v="4719.38"/>
    <x v="53"/>
    <d v="2025-07-17T00:00:00"/>
    <x v="2"/>
    <x v="0"/>
    <x v="0"/>
    <x v="0"/>
    <x v="1"/>
    <x v="13"/>
  </r>
  <r>
    <s v="P488"/>
    <n v="20"/>
    <x v="1"/>
    <n v="20.7"/>
    <n v="152"/>
    <n v="114"/>
    <x v="1"/>
    <x v="1"/>
    <x v="3"/>
    <n v="3670.73"/>
    <x v="189"/>
    <d v="2025-02-09T00:00:00"/>
    <x v="2"/>
    <x v="0"/>
    <x v="0"/>
    <x v="0"/>
    <x v="1"/>
    <x v="1"/>
  </r>
  <r>
    <s v="P489"/>
    <n v="36"/>
    <x v="0"/>
    <n v="34.4"/>
    <n v="102"/>
    <n v="106"/>
    <x v="0"/>
    <x v="0"/>
    <x v="3"/>
    <n v="2953.78"/>
    <x v="55"/>
    <d v="2025-02-15T00:00:00"/>
    <x v="1"/>
    <x v="1"/>
    <x v="0"/>
    <x v="0"/>
    <x v="1"/>
    <x v="9"/>
  </r>
  <r>
    <s v="P490"/>
    <n v="57"/>
    <x v="1"/>
    <n v="20"/>
    <n v="105"/>
    <n v="110"/>
    <x v="0"/>
    <x v="0"/>
    <x v="3"/>
    <n v="4278.8599999999997"/>
    <x v="161"/>
    <d v="2024-12-06T00:00:00"/>
    <x v="0"/>
    <x v="2"/>
    <x v="0"/>
    <x v="0"/>
    <x v="1"/>
    <x v="13"/>
  </r>
  <r>
    <s v="P491"/>
    <n v="48"/>
    <x v="0"/>
    <n v="24.1"/>
    <n v="153"/>
    <n v="81"/>
    <x v="1"/>
    <x v="0"/>
    <x v="4"/>
    <n v="318.98"/>
    <x v="225"/>
    <d v="2025-01-12T00:00:00"/>
    <x v="1"/>
    <x v="1"/>
    <x v="1"/>
    <x v="0"/>
    <x v="1"/>
    <x v="2"/>
  </r>
  <r>
    <s v="P492"/>
    <n v="43"/>
    <x v="1"/>
    <n v="18.100000000000001"/>
    <n v="163"/>
    <n v="83"/>
    <x v="0"/>
    <x v="0"/>
    <x v="1"/>
    <n v="4610.62"/>
    <x v="81"/>
    <d v="2025-01-14T00:00:00"/>
    <x v="2"/>
    <x v="1"/>
    <x v="0"/>
    <x v="0"/>
    <x v="1"/>
    <x v="6"/>
  </r>
  <r>
    <s v="P493"/>
    <n v="46"/>
    <x v="0"/>
    <n v="38.6"/>
    <n v="121"/>
    <n v="118"/>
    <x v="0"/>
    <x v="0"/>
    <x v="0"/>
    <n v="2972.75"/>
    <x v="116"/>
    <d v="2025-03-27T00:00:00"/>
    <x v="0"/>
    <x v="1"/>
    <x v="0"/>
    <x v="0"/>
    <x v="1"/>
    <x v="7"/>
  </r>
  <r>
    <s v="P494"/>
    <n v="33"/>
    <x v="1"/>
    <n v="30.3"/>
    <n v="143"/>
    <n v="105"/>
    <x v="1"/>
    <x v="1"/>
    <x v="1"/>
    <n v="3152.77"/>
    <x v="66"/>
    <d v="2025-03-17T00:00:00"/>
    <x v="2"/>
    <x v="3"/>
    <x v="0"/>
    <x v="0"/>
    <x v="1"/>
    <x v="8"/>
  </r>
  <r>
    <s v="P495"/>
    <n v="25"/>
    <x v="1"/>
    <n v="39.9"/>
    <n v="97"/>
    <n v="88"/>
    <x v="1"/>
    <x v="0"/>
    <x v="3"/>
    <n v="1947.09"/>
    <x v="47"/>
    <d v="2024-12-25T00:00:00"/>
    <x v="0"/>
    <x v="3"/>
    <x v="1"/>
    <x v="0"/>
    <x v="0"/>
    <x v="6"/>
  </r>
  <r>
    <s v="P496"/>
    <n v="59"/>
    <x v="1"/>
    <n v="18.3"/>
    <n v="161"/>
    <n v="77"/>
    <x v="1"/>
    <x v="1"/>
    <x v="3"/>
    <n v="1675.74"/>
    <x v="25"/>
    <d v="2025-04-02T00:00:00"/>
    <x v="2"/>
    <x v="2"/>
    <x v="0"/>
    <x v="0"/>
    <x v="1"/>
    <x v="7"/>
  </r>
  <r>
    <s v="P497"/>
    <n v="38"/>
    <x v="1"/>
    <n v="19.600000000000001"/>
    <n v="142"/>
    <n v="97"/>
    <x v="1"/>
    <x v="1"/>
    <x v="1"/>
    <n v="2113.33"/>
    <x v="53"/>
    <d v="2025-07-17T00:00:00"/>
    <x v="1"/>
    <x v="1"/>
    <x v="0"/>
    <x v="0"/>
    <x v="1"/>
    <x v="13"/>
  </r>
  <r>
    <s v="P498"/>
    <n v="46"/>
    <x v="0"/>
    <n v="28.6"/>
    <n v="96"/>
    <n v="100"/>
    <x v="0"/>
    <x v="1"/>
    <x v="3"/>
    <n v="4121.1899999999996"/>
    <x v="266"/>
    <d v="2024-12-05T00:00:00"/>
    <x v="1"/>
    <x v="1"/>
    <x v="0"/>
    <x v="1"/>
    <x v="1"/>
    <x v="12"/>
  </r>
  <r>
    <s v="P499"/>
    <n v="47"/>
    <x v="0"/>
    <n v="29.6"/>
    <n v="162"/>
    <n v="84"/>
    <x v="0"/>
    <x v="1"/>
    <x v="0"/>
    <n v="1065.24"/>
    <x v="144"/>
    <d v="2025-05-15T00:00:00"/>
    <x v="2"/>
    <x v="1"/>
    <x v="0"/>
    <x v="1"/>
    <x v="1"/>
    <x v="10"/>
  </r>
  <r>
    <s v="P500"/>
    <n v="85"/>
    <x v="1"/>
    <n v="25"/>
    <n v="134"/>
    <n v="74"/>
    <x v="1"/>
    <x v="0"/>
    <x v="0"/>
    <n v="422.94"/>
    <x v="30"/>
    <d v="2025-06-16T00:00:00"/>
    <x v="2"/>
    <x v="4"/>
    <x v="1"/>
    <x v="0"/>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Length of stay">
  <location ref="G32:H47" firstHeaderRow="1" firstDataRow="1" firstDataCol="1" rowPageCount="2" colPageCount="1"/>
  <pivotFields count="19">
    <pivotField showAll="0"/>
    <pivotField showAll="0"/>
    <pivotField showAll="0">
      <items count="3">
        <item x="0"/>
        <item x="1"/>
        <item t="default"/>
      </items>
    </pivotField>
    <pivotField showAll="0"/>
    <pivotField showAll="0"/>
    <pivotField showAll="0"/>
    <pivotField showAll="0"/>
    <pivotField showAll="0"/>
    <pivotField axis="axisPage" multipleItemSelectionAllowed="1" showAll="0">
      <items count="6">
        <item x="0"/>
        <item x="2"/>
        <item x="3"/>
        <item x="1"/>
        <item x="4"/>
        <item t="default"/>
      </items>
    </pivotField>
    <pivotField numFmtId="44" showAll="0"/>
    <pivotField numFmtId="164" showAll="0"/>
    <pivotField numFmtId="164" showAll="0"/>
    <pivotField axis="axisPage" multipleItemSelectionAllowed="1" showAll="0">
      <items count="4">
        <item x="2"/>
        <item x="0"/>
        <item x="1"/>
        <item t="default"/>
      </items>
    </pivotField>
    <pivotField showAll="0">
      <items count="6">
        <item x="0"/>
        <item x="4"/>
        <item x="3"/>
        <item x="1"/>
        <item x="2"/>
        <item t="default"/>
      </items>
    </pivotField>
    <pivotField showAll="0"/>
    <pivotField showAll="0"/>
    <pivotField showAll="0"/>
    <pivotField axis="axisRow" dataField="1" showAll="0">
      <items count="15">
        <item x="6"/>
        <item x="9"/>
        <item x="1"/>
        <item x="7"/>
        <item x="10"/>
        <item x="4"/>
        <item x="5"/>
        <item x="2"/>
        <item x="3"/>
        <item x="13"/>
        <item x="8"/>
        <item x="0"/>
        <item x="11"/>
        <item x="12"/>
        <item t="default"/>
      </items>
    </pivotField>
    <pivotField showAll="0" defaultSubtotal="0"/>
  </pivotFields>
  <rowFields count="1">
    <field x="17"/>
  </rowFields>
  <rowItems count="15">
    <i>
      <x/>
    </i>
    <i>
      <x v="1"/>
    </i>
    <i>
      <x v="2"/>
    </i>
    <i>
      <x v="3"/>
    </i>
    <i>
      <x v="4"/>
    </i>
    <i>
      <x v="5"/>
    </i>
    <i>
      <x v="6"/>
    </i>
    <i>
      <x v="7"/>
    </i>
    <i>
      <x v="8"/>
    </i>
    <i>
      <x v="9"/>
    </i>
    <i>
      <x v="10"/>
    </i>
    <i>
      <x v="11"/>
    </i>
    <i>
      <x v="12"/>
    </i>
    <i>
      <x v="13"/>
    </i>
    <i t="grand">
      <x/>
    </i>
  </rowItems>
  <colItems count="1">
    <i/>
  </colItems>
  <pageFields count="2">
    <pageField fld="8" hier="-1"/>
    <pageField fld="12" hier="-1"/>
  </pageFields>
  <dataFields count="1">
    <dataField name="Number of Patients" fld="17" subtotal="count" baseField="1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20:K23" firstHeaderRow="1"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showAll="0">
      <items count="6">
        <item x="0"/>
        <item x="2"/>
        <item x="3"/>
        <item x="1"/>
        <item x="4"/>
        <item t="default"/>
      </items>
    </pivotField>
    <pivotField numFmtId="44"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axis="axisRow" dataField="1" showAll="0">
      <items count="3">
        <item x="0"/>
        <item x="1"/>
        <item t="default"/>
      </items>
    </pivotField>
    <pivotField showAll="0"/>
    <pivotField showAll="0"/>
    <pivotField showAll="0"/>
    <pivotField showAll="0" defaultSubtotal="0">
      <items count="4">
        <item x="0"/>
        <item x="1"/>
        <item x="2"/>
        <item x="3"/>
      </items>
    </pivotField>
  </pivotFields>
  <rowFields count="1">
    <field x="14"/>
  </rowFields>
  <rowItems count="3">
    <i>
      <x/>
    </i>
    <i>
      <x v="1"/>
    </i>
    <i t="grand">
      <x/>
    </i>
  </rowItems>
  <colItems count="1">
    <i/>
  </colItems>
  <dataFields count="1">
    <dataField name="Count of smoker and Diabetic"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E26:F29" firstHeaderRow="1"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showAll="0">
      <items count="6">
        <item x="0"/>
        <item x="2"/>
        <item x="3"/>
        <item x="1"/>
        <item x="4"/>
        <item t="default"/>
      </items>
    </pivotField>
    <pivotField numFmtId="44" showAll="0"/>
    <pivotField numFmtId="164" showAll="0">
      <items count="15">
        <item x="0"/>
        <item x="1"/>
        <item x="2"/>
        <item x="3"/>
        <item x="4"/>
        <item x="5"/>
        <item x="6"/>
        <item x="7"/>
        <item x="8"/>
        <item x="9"/>
        <item x="10"/>
        <item x="11"/>
        <item x="12"/>
        <item x="13"/>
        <item t="default"/>
      </items>
    </pivotField>
    <pivotField numFmtId="164" showAll="0"/>
    <pivotField showAll="0"/>
    <pivotField showAll="0">
      <items count="6">
        <item x="0"/>
        <item x="4"/>
        <item x="3"/>
        <item x="1"/>
        <item x="2"/>
        <item t="default"/>
      </items>
    </pivotField>
    <pivotField showAll="0"/>
    <pivotField showAll="0"/>
    <pivotField axis="axisRow" dataField="1" showAll="0">
      <items count="3">
        <item x="1"/>
        <item x="0"/>
        <item t="default"/>
      </items>
    </pivotField>
    <pivotField showAll="0"/>
    <pivotField showAll="0" defaultSubtotal="0">
      <items count="4">
        <item x="0"/>
        <item x="1"/>
        <item x="2"/>
        <item x="3"/>
      </items>
    </pivotField>
  </pivotFields>
  <rowFields count="1">
    <field x="16"/>
  </rowFields>
  <rowItems count="3">
    <i>
      <x/>
    </i>
    <i>
      <x v="1"/>
    </i>
    <i t="grand">
      <x/>
    </i>
  </rowItems>
  <colItems count="1">
    <i/>
  </colItems>
  <dataFields count="1">
    <dataField name="Count of Blood Pressure" fld="16"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6" count="1" selected="0">
            <x v="0"/>
          </reference>
        </references>
      </pivotArea>
    </chartFormat>
    <chartFormat chart="4"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1:B57" firstHeaderRow="1"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axis="axisRow" dataField="1" showAll="0">
      <items count="6">
        <item x="0"/>
        <item x="2"/>
        <item x="3"/>
        <item x="1"/>
        <item x="4"/>
        <item t="default"/>
      </items>
    </pivotField>
    <pivotField numFmtId="44" showAll="0"/>
    <pivotField numFmtId="164" showAll="0"/>
    <pivotField numFmtId="164" showAll="0"/>
    <pivotField showAll="0"/>
    <pivotField showAll="0">
      <items count="6">
        <item x="0"/>
        <item x="4"/>
        <item x="3"/>
        <item x="1"/>
        <item x="2"/>
        <item t="default"/>
      </items>
    </pivotField>
    <pivotField showAll="0"/>
    <pivotField showAll="0"/>
    <pivotField showAll="0"/>
    <pivotField showAll="0"/>
    <pivotField showAll="0" defaultSubtotal="0"/>
  </pivotFields>
  <rowFields count="1">
    <field x="8"/>
  </rowFields>
  <rowItems count="6">
    <i>
      <x/>
    </i>
    <i>
      <x v="1"/>
    </i>
    <i>
      <x v="2"/>
    </i>
    <i>
      <x v="3"/>
    </i>
    <i>
      <x v="4"/>
    </i>
    <i t="grand">
      <x/>
    </i>
  </rowItems>
  <colItems count="1">
    <i/>
  </colItems>
  <dataFields count="1">
    <dataField name="Count of Diagnosis" fld="8"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2:M3" firstHeaderRow="0" firstDataRow="1" firstDataCol="0"/>
  <pivotFields count="19">
    <pivotField dataField="1" showAll="0"/>
    <pivotField dataField="1" showAll="0"/>
    <pivotField showAll="0">
      <items count="3">
        <item x="0"/>
        <item x="1"/>
        <item t="default"/>
      </items>
    </pivotField>
    <pivotField showAll="0"/>
    <pivotField showAll="0"/>
    <pivotField showAll="0"/>
    <pivotField showAll="0"/>
    <pivotField showAll="0"/>
    <pivotField showAll="0">
      <items count="6">
        <item x="0"/>
        <item x="2"/>
        <item x="3"/>
        <item x="1"/>
        <item x="4"/>
        <item t="default"/>
      </items>
    </pivotField>
    <pivotField dataField="1" numFmtId="44" showAll="0"/>
    <pivotField numFmtId="164" showAll="0"/>
    <pivotField numFmtId="164" showAll="0"/>
    <pivotField showAll="0"/>
    <pivotField showAll="0">
      <items count="6">
        <item x="0"/>
        <item x="4"/>
        <item x="3"/>
        <item x="1"/>
        <item x="2"/>
        <item t="default"/>
      </items>
    </pivotField>
    <pivotField showAll="0"/>
    <pivotField showAll="0"/>
    <pivotField showAll="0"/>
    <pivotField dataField="1" showAll="0"/>
    <pivotField showAll="0" defaultSubtotal="0"/>
  </pivotFields>
  <rowItems count="1">
    <i/>
  </rowItems>
  <colFields count="1">
    <field x="-2"/>
  </colFields>
  <colItems count="5">
    <i>
      <x/>
    </i>
    <i i="1">
      <x v="1"/>
    </i>
    <i i="2">
      <x v="2"/>
    </i>
    <i i="3">
      <x v="3"/>
    </i>
    <i i="4">
      <x v="4"/>
    </i>
  </colItems>
  <dataFields count="5">
    <dataField name="Count of Patient_ID" fld="0" subtotal="count" baseField="0" baseItem="0"/>
    <dataField name="Average of Age" fld="1" subtotal="average" baseField="0" baseItem="1" numFmtId="2"/>
    <dataField name="Sum of Treatment_Cost" fld="9" baseField="0" baseItem="0" numFmtId="167"/>
    <dataField name="Average of Days on admission" fld="17" subtotal="average" baseField="0" baseItem="1" numFmtId="2"/>
    <dataField name="Average of Treatment_Cost2" fld="9" subtotal="average" baseField="0" baseItem="1" numFmtId="168"/>
  </dataFields>
  <formats count="4">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4"/>
          </reference>
        </references>
      </pivotArea>
    </format>
    <format dxfId="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6" firstHeaderRow="1" firstDataRow="1" firstDataCol="1"/>
  <pivotFields count="19">
    <pivotField showAll="0"/>
    <pivotField showAll="0"/>
    <pivotField axis="axisRow" dataField="1" showAll="0">
      <items count="3">
        <item x="0"/>
        <item x="1"/>
        <item t="default"/>
      </items>
    </pivotField>
    <pivotField showAll="0"/>
    <pivotField showAll="0"/>
    <pivotField showAll="0"/>
    <pivotField showAll="0"/>
    <pivotField showAll="0"/>
    <pivotField showAll="0">
      <items count="6">
        <item x="0"/>
        <item x="2"/>
        <item x="3"/>
        <item x="1"/>
        <item x="4"/>
        <item t="default"/>
      </items>
    </pivotField>
    <pivotField numFmtId="44" showAll="0"/>
    <pivotField numFmtId="164" showAll="0">
      <items count="15">
        <item x="0"/>
        <item x="1"/>
        <item x="2"/>
        <item x="3"/>
        <item x="4"/>
        <item x="5"/>
        <item x="6"/>
        <item x="7"/>
        <item x="8"/>
        <item x="9"/>
        <item x="10"/>
        <item x="11"/>
        <item x="12"/>
        <item x="13"/>
        <item t="default"/>
      </items>
    </pivotField>
    <pivotField numFmtId="164" showAll="0"/>
    <pivotField showAll="0"/>
    <pivotField showAll="0">
      <items count="6">
        <item x="0"/>
        <item x="4"/>
        <item x="3"/>
        <item x="1"/>
        <item x="2"/>
        <item t="default"/>
      </items>
    </pivotField>
    <pivotField showAll="0"/>
    <pivotField showAll="0"/>
    <pivotField showAll="0"/>
    <pivotField showAll="0"/>
    <pivotField showAll="0" defaultSubtotal="0">
      <items count="4">
        <item x="0"/>
        <item x="1"/>
        <item x="2"/>
        <item x="3"/>
      </items>
    </pivotField>
  </pivotFields>
  <rowFields count="1">
    <field x="2"/>
  </rowFields>
  <rowItems count="3">
    <i>
      <x/>
    </i>
    <i>
      <x v="1"/>
    </i>
    <i t="grand">
      <x/>
    </i>
  </rowItems>
  <colItems count="1">
    <i/>
  </colItems>
  <dataFields count="1">
    <dataField name="Count of Gender"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20:H23" firstHeaderRow="1"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showAll="0">
      <items count="6">
        <item x="0"/>
        <item x="2"/>
        <item x="3"/>
        <item x="1"/>
        <item x="4"/>
        <item t="default"/>
      </items>
    </pivotField>
    <pivotField numFmtId="44"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axis="axisRow" dataField="1" showAll="0">
      <items count="3">
        <item x="1"/>
        <item x="0"/>
        <item t="default"/>
      </items>
    </pivotField>
    <pivotField showAll="0"/>
    <pivotField showAll="0"/>
    <pivotField showAll="0" defaultSubtotal="0">
      <items count="4">
        <item x="0"/>
        <item x="1"/>
        <item x="2"/>
        <item x="3"/>
      </items>
    </pivotField>
  </pivotFields>
  <rowFields count="1">
    <field x="15"/>
  </rowFields>
  <rowItems count="3">
    <i>
      <x/>
    </i>
    <i>
      <x v="1"/>
    </i>
    <i t="grand">
      <x/>
    </i>
  </rowItems>
  <colItems count="1">
    <i/>
  </colItems>
  <dataFields count="1">
    <dataField name="Count of smoker or diabetic"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rowHeaderCaption="Outcomes">
  <location ref="A41:C45" firstHeaderRow="0"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showAll="0">
      <items count="6">
        <item x="0"/>
        <item x="2"/>
        <item x="3"/>
        <item x="1"/>
        <item x="4"/>
        <item t="default"/>
      </items>
    </pivotField>
    <pivotField numFmtId="44" showAll="0"/>
    <pivotField numFmtId="164" showAll="0">
      <items count="15">
        <item x="0"/>
        <item x="1"/>
        <item x="2"/>
        <item x="3"/>
        <item x="4"/>
        <item x="5"/>
        <item x="6"/>
        <item x="7"/>
        <item x="8"/>
        <item x="9"/>
        <item x="10"/>
        <item x="11"/>
        <item x="12"/>
        <item x="13"/>
        <item t="default"/>
      </items>
    </pivotField>
    <pivotField numFmtId="164" showAll="0"/>
    <pivotField axis="axisRow" dataField="1" showAll="0">
      <items count="4">
        <item x="2"/>
        <item x="0"/>
        <item x="1"/>
        <item t="default"/>
      </items>
    </pivotField>
    <pivotField showAll="0">
      <items count="6">
        <item x="0"/>
        <item x="4"/>
        <item x="3"/>
        <item x="1"/>
        <item x="2"/>
        <item t="default"/>
      </items>
    </pivotField>
    <pivotField showAll="0"/>
    <pivotField showAll="0"/>
    <pivotField showAll="0"/>
    <pivotField showAll="0"/>
    <pivotField showAll="0" defaultSubtotal="0">
      <items count="4">
        <item x="0"/>
        <item x="1"/>
        <item x="2"/>
        <item x="3"/>
      </items>
    </pivotField>
  </pivotFields>
  <rowFields count="1">
    <field x="12"/>
  </rowFields>
  <rowItems count="4">
    <i>
      <x/>
    </i>
    <i>
      <x v="1"/>
    </i>
    <i>
      <x v="2"/>
    </i>
    <i t="grand">
      <x/>
    </i>
  </rowItems>
  <colFields count="1">
    <field x="-2"/>
  </colFields>
  <colItems count="2">
    <i>
      <x/>
    </i>
    <i i="1">
      <x v="1"/>
    </i>
  </colItems>
  <dataFields count="2">
    <dataField name="Count of Outcome" fld="12" subtotal="count" baseField="0" baseItem="0"/>
    <dataField name="Count of Outcome2" fld="12" subtotal="count" baseField="12" baseItem="0" numFmtId="10">
      <extLst>
        <ext xmlns:x14="http://schemas.microsoft.com/office/spreadsheetml/2009/9/main" uri="{E15A36E0-9728-4e99-A89B-3F7291B0FE68}">
          <x14:dataField pivotShowAs="percentOfParentRow"/>
        </ext>
      </extLst>
    </dataField>
  </dataFields>
  <chartFormats count="8">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2" count="1" selected="0">
            <x v="0"/>
          </reference>
        </references>
      </pivotArea>
    </chartFormat>
    <chartFormat chart="9" format="7">
      <pivotArea type="data" outline="0" fieldPosition="0">
        <references count="2">
          <reference field="4294967294" count="1" selected="0">
            <x v="0"/>
          </reference>
          <reference field="12" count="1" selected="0">
            <x v="1"/>
          </reference>
        </references>
      </pivotArea>
    </chartFormat>
    <chartFormat chart="9" format="8">
      <pivotArea type="data" outline="0" fieldPosition="0">
        <references count="2">
          <reference field="4294967294" count="1" selected="0">
            <x v="0"/>
          </reference>
          <reference field="12" count="1" selected="0">
            <x v="2"/>
          </reference>
        </references>
      </pivotArea>
    </chartFormat>
    <chartFormat chart="9" format="9" series="1">
      <pivotArea type="data" outline="0" fieldPosition="0">
        <references count="1">
          <reference field="4294967294" count="1" selected="0">
            <x v="1"/>
          </reference>
        </references>
      </pivotArea>
    </chartFormat>
    <chartFormat chart="9" format="10">
      <pivotArea type="data" outline="0" fieldPosition="0">
        <references count="2">
          <reference field="4294967294" count="1" selected="0">
            <x v="1"/>
          </reference>
          <reference field="12" count="1" selected="0">
            <x v="0"/>
          </reference>
        </references>
      </pivotArea>
    </chartFormat>
    <chartFormat chart="9" format="11">
      <pivotArea type="data" outline="0" fieldPosition="0">
        <references count="2">
          <reference field="4294967294" count="1" selected="0">
            <x v="1"/>
          </reference>
          <reference field="12" count="1" selected="0">
            <x v="1"/>
          </reference>
        </references>
      </pivotArea>
    </chartFormat>
    <chartFormat chart="9" format="12">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Diagnosis">
  <location ref="A32:B38" firstHeaderRow="1"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axis="axisRow" showAll="0">
      <items count="6">
        <item x="0"/>
        <item x="2"/>
        <item x="3"/>
        <item x="1"/>
        <item x="4"/>
        <item t="default"/>
      </items>
    </pivotField>
    <pivotField dataField="1" numFmtId="44" showAll="0"/>
    <pivotField numFmtId="164" showAll="0">
      <items count="15">
        <item x="0"/>
        <item x="1"/>
        <item x="2"/>
        <item x="3"/>
        <item x="4"/>
        <item x="5"/>
        <item x="6"/>
        <item x="7"/>
        <item x="8"/>
        <item x="9"/>
        <item x="10"/>
        <item x="11"/>
        <item x="12"/>
        <item x="13"/>
        <item t="default"/>
      </items>
    </pivotField>
    <pivotField numFmtId="164" showAll="0"/>
    <pivotField showAll="0"/>
    <pivotField showAll="0">
      <items count="6">
        <item x="0"/>
        <item x="4"/>
        <item x="3"/>
        <item x="1"/>
        <item x="2"/>
        <item t="default"/>
      </items>
    </pivotField>
    <pivotField showAll="0"/>
    <pivotField showAll="0"/>
    <pivotField showAll="0"/>
    <pivotField showAll="0"/>
    <pivotField showAll="0" defaultSubtotal="0">
      <items count="4">
        <item x="0"/>
        <item x="1"/>
        <item x="2"/>
        <item x="3"/>
      </items>
    </pivotField>
  </pivotFields>
  <rowFields count="1">
    <field x="8"/>
  </rowFields>
  <rowItems count="6">
    <i>
      <x/>
    </i>
    <i>
      <x v="1"/>
    </i>
    <i>
      <x v="2"/>
    </i>
    <i>
      <x v="3"/>
    </i>
    <i>
      <x v="4"/>
    </i>
    <i t="grand">
      <x/>
    </i>
  </rowItems>
  <colItems count="1">
    <i/>
  </colItems>
  <dataFields count="1">
    <dataField name="Sum of Treatment_Cost" fld="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D32:E48" firstHeaderRow="1"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showAll="0">
      <items count="6">
        <item x="0"/>
        <item x="2"/>
        <item x="3"/>
        <item x="1"/>
        <item x="4"/>
        <item t="default"/>
      </items>
    </pivotField>
    <pivotField numFmtId="44" showAll="0"/>
    <pivotField axis="axisRow" dataField="1" numFmtId="165" showAll="0">
      <items count="15">
        <item x="0"/>
        <item x="1"/>
        <item x="2"/>
        <item x="3"/>
        <item x="4"/>
        <item x="5"/>
        <item x="6"/>
        <item x="7"/>
        <item x="8"/>
        <item x="9"/>
        <item x="10"/>
        <item x="11"/>
        <item x="12"/>
        <item x="13"/>
        <item t="default"/>
      </items>
    </pivotField>
    <pivotField numFmtId="164" showAll="0"/>
    <pivotField showAll="0"/>
    <pivotField showAll="0">
      <items count="6">
        <item x="0"/>
        <item x="4"/>
        <item x="3"/>
        <item x="1"/>
        <item x="2"/>
        <item t="default"/>
      </items>
    </pivotField>
    <pivotField showAll="0"/>
    <pivotField showAll="0"/>
    <pivotField showAll="0"/>
    <pivotField showAll="0"/>
    <pivotField axis="axisRow" showAll="0" defaultSubtotal="0">
      <items count="4">
        <item x="0"/>
        <item x="1"/>
        <item x="2"/>
        <item x="3"/>
      </items>
    </pivotField>
  </pivotFields>
  <rowFields count="2">
    <field x="18"/>
    <field x="10"/>
  </rowFields>
  <rowItems count="16">
    <i>
      <x v="1"/>
    </i>
    <i r="1">
      <x v="10"/>
    </i>
    <i r="1">
      <x v="11"/>
    </i>
    <i r="1">
      <x v="12"/>
    </i>
    <i>
      <x v="2"/>
    </i>
    <i r="1">
      <x v="1"/>
    </i>
    <i r="1">
      <x v="2"/>
    </i>
    <i r="1">
      <x v="3"/>
    </i>
    <i r="1">
      <x v="4"/>
    </i>
    <i r="1">
      <x v="5"/>
    </i>
    <i r="1">
      <x v="6"/>
    </i>
    <i r="1">
      <x v="7"/>
    </i>
    <i r="1">
      <x v="8"/>
    </i>
    <i r="1">
      <x v="9"/>
    </i>
    <i r="1">
      <x v="10"/>
    </i>
    <i t="grand">
      <x/>
    </i>
  </rowItems>
  <colItems count="1">
    <i/>
  </colItems>
  <dataFields count="1">
    <dataField name="Count of Admission_Date" fld="1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20:E23" firstHeaderRow="1" firstDataRow="1" firstDataCol="1"/>
  <pivotFields count="19">
    <pivotField showAll="0"/>
    <pivotField showAll="0"/>
    <pivotField showAll="0">
      <items count="3">
        <item x="0"/>
        <item x="1"/>
        <item t="default"/>
      </items>
    </pivotField>
    <pivotField showAll="0"/>
    <pivotField showAll="0"/>
    <pivotField showAll="0"/>
    <pivotField showAll="0"/>
    <pivotField axis="axisRow" dataField="1" showAll="0">
      <items count="3">
        <item x="1"/>
        <item x="0"/>
        <item t="default"/>
      </items>
    </pivotField>
    <pivotField showAll="0">
      <items count="6">
        <item x="0"/>
        <item x="2"/>
        <item x="3"/>
        <item x="1"/>
        <item x="4"/>
        <item t="default"/>
      </items>
    </pivotField>
    <pivotField numFmtId="44" showAll="0"/>
    <pivotField numFmtId="164" showAll="0">
      <items count="15">
        <item x="0"/>
        <item x="1"/>
        <item x="2"/>
        <item x="3"/>
        <item x="4"/>
        <item x="5"/>
        <item x="6"/>
        <item x="7"/>
        <item x="8"/>
        <item x="9"/>
        <item x="10"/>
        <item x="11"/>
        <item x="12"/>
        <item x="13"/>
        <item t="default"/>
      </items>
    </pivotField>
    <pivotField numFmtId="164" showAll="0"/>
    <pivotField showAll="0"/>
    <pivotField showAll="0">
      <items count="6">
        <item x="0"/>
        <item x="4"/>
        <item x="3"/>
        <item x="1"/>
        <item x="2"/>
        <item t="default"/>
      </items>
    </pivotField>
    <pivotField showAll="0"/>
    <pivotField showAll="0"/>
    <pivotField showAll="0"/>
    <pivotField showAll="0"/>
    <pivotField showAll="0" defaultSubtotal="0">
      <items count="4">
        <item x="0"/>
        <item x="1"/>
        <item x="2"/>
        <item x="3"/>
      </items>
    </pivotField>
  </pivotFields>
  <rowFields count="1">
    <field x="7"/>
  </rowFields>
  <rowItems count="3">
    <i>
      <x/>
    </i>
    <i>
      <x v="1"/>
    </i>
    <i t="grand">
      <x/>
    </i>
  </rowItems>
  <colItems count="1">
    <i/>
  </colItems>
  <dataFields count="1">
    <dataField name="Count of Diabetic" fld="7"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1:C17" firstHeaderRow="0" firstDataRow="1" firstDataCol="1"/>
  <pivotFields count="19">
    <pivotField showAll="0"/>
    <pivotField dataField="1" showAll="0"/>
    <pivotField showAll="0">
      <items count="3">
        <item x="0"/>
        <item x="1"/>
        <item t="default"/>
      </items>
    </pivotField>
    <pivotField showAll="0"/>
    <pivotField showAll="0"/>
    <pivotField showAll="0"/>
    <pivotField showAll="0"/>
    <pivotField showAll="0"/>
    <pivotField showAll="0">
      <items count="6">
        <item x="0"/>
        <item x="2"/>
        <item x="3"/>
        <item x="1"/>
        <item x="4"/>
        <item t="default"/>
      </items>
    </pivotField>
    <pivotField numFmtId="44" showAll="0"/>
    <pivotField numFmtId="164" showAll="0">
      <items count="15">
        <item x="0"/>
        <item x="1"/>
        <item x="2"/>
        <item x="3"/>
        <item x="4"/>
        <item x="5"/>
        <item x="6"/>
        <item x="7"/>
        <item x="8"/>
        <item x="9"/>
        <item x="10"/>
        <item x="11"/>
        <item x="12"/>
        <item x="13"/>
        <item t="default"/>
      </items>
    </pivotField>
    <pivotField numFmtId="164" showAll="0"/>
    <pivotField showAll="0"/>
    <pivotField axis="axisRow" dataField="1" showAll="0">
      <items count="6">
        <item x="0"/>
        <item x="3"/>
        <item x="1"/>
        <item x="2"/>
        <item x="4"/>
        <item t="default"/>
      </items>
    </pivotField>
    <pivotField showAll="0"/>
    <pivotField showAll="0"/>
    <pivotField showAll="0"/>
    <pivotField showAll="0"/>
    <pivotField showAll="0" defaultSubtotal="0">
      <items count="4">
        <item x="0"/>
        <item x="1"/>
        <item x="2"/>
        <item x="3"/>
      </items>
    </pivotField>
  </pivotFields>
  <rowFields count="1">
    <field x="13"/>
  </rowFields>
  <rowItems count="6">
    <i>
      <x/>
    </i>
    <i>
      <x v="1"/>
    </i>
    <i>
      <x v="2"/>
    </i>
    <i>
      <x v="3"/>
    </i>
    <i>
      <x v="4"/>
    </i>
    <i t="grand">
      <x/>
    </i>
  </rowItems>
  <colFields count="1">
    <field x="-2"/>
  </colFields>
  <colItems count="2">
    <i>
      <x/>
    </i>
    <i i="1">
      <x v="1"/>
    </i>
  </colItems>
  <dataFields count="2">
    <dataField name="Number of Patients" fld="13" subtotal="count" baseField="13" baseItem="0"/>
    <dataField name="Average Age" fld="1" subtotal="average" baseField="13" baseItem="0"/>
  </dataFields>
  <formats count="1">
    <format dxfId="12">
      <pivotArea field="13" grandRow="1" outline="0" collapsedLevelsAreSubtotals="1" axis="axisRow"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0:B23" firstHeaderRow="1" firstDataRow="1" firstDataCol="1"/>
  <pivotFields count="19">
    <pivotField showAll="0"/>
    <pivotField showAll="0"/>
    <pivotField showAll="0">
      <items count="3">
        <item x="0"/>
        <item x="1"/>
        <item t="default"/>
      </items>
    </pivotField>
    <pivotField showAll="0"/>
    <pivotField showAll="0"/>
    <pivotField showAll="0"/>
    <pivotField axis="axisRow" dataField="1" showAll="0">
      <items count="3">
        <item x="0"/>
        <item x="1"/>
        <item t="default"/>
      </items>
    </pivotField>
    <pivotField showAll="0"/>
    <pivotField showAll="0">
      <items count="6">
        <item x="0"/>
        <item x="2"/>
        <item x="3"/>
        <item x="1"/>
        <item x="4"/>
        <item t="default"/>
      </items>
    </pivotField>
    <pivotField numFmtId="44" showAll="0"/>
    <pivotField numFmtId="164" showAll="0">
      <items count="15">
        <item x="0"/>
        <item x="1"/>
        <item x="2"/>
        <item x="3"/>
        <item x="4"/>
        <item x="5"/>
        <item x="6"/>
        <item x="7"/>
        <item x="8"/>
        <item x="9"/>
        <item x="10"/>
        <item x="11"/>
        <item x="12"/>
        <item x="13"/>
        <item t="default"/>
      </items>
    </pivotField>
    <pivotField numFmtId="164" showAll="0"/>
    <pivotField showAll="0"/>
    <pivotField showAll="0">
      <items count="6">
        <item x="0"/>
        <item x="4"/>
        <item x="3"/>
        <item x="1"/>
        <item x="2"/>
        <item t="default"/>
      </items>
    </pivotField>
    <pivotField showAll="0"/>
    <pivotField showAll="0"/>
    <pivotField showAll="0"/>
    <pivotField showAll="0"/>
    <pivotField showAll="0" defaultSubtotal="0">
      <items count="4">
        <item x="0"/>
        <item x="1"/>
        <item x="2"/>
        <item x="3"/>
      </items>
    </pivotField>
  </pivotFields>
  <rowFields count="1">
    <field x="6"/>
  </rowFields>
  <rowItems count="3">
    <i>
      <x/>
    </i>
    <i>
      <x v="1"/>
    </i>
    <i t="grand">
      <x/>
    </i>
  </rowItems>
  <colItems count="1">
    <i/>
  </colItems>
  <dataFields count="1">
    <dataField name="Count of Smoker" fld="6"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agnosis" sourceName="Diagnosis">
  <pivotTables>
    <pivotTable tabId="3" name="PivotTable1"/>
    <pivotTable tabId="3" name="PivotTable2"/>
    <pivotTable tabId="3" name="PivotTable8"/>
    <pivotTable tabId="3" name="PivotTable12"/>
    <pivotTable tabId="3" name="PivotTable3"/>
    <pivotTable tabId="3" name="PivotTable4"/>
    <pivotTable tabId="3" name="PivotTable5"/>
    <pivotTable tabId="3" name="PivotTable6"/>
    <pivotTable tabId="3" name="PivotTable11"/>
    <pivotTable tabId="3" name="PivotTable13"/>
    <pivotTable tabId="3" name="PivotTable16"/>
  </pivotTables>
  <data>
    <tabular pivotCacheId="1">
      <items count="5">
        <i x="0" s="1"/>
        <i x="2" s="1"/>
        <i x="3" s="1"/>
        <i x="1"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3" name="PivotTable3"/>
    <pivotTable tabId="3" name="PivotTable4"/>
    <pivotTable tabId="3" name="PivotTable5"/>
    <pivotTable tabId="3" name="PivotTable6"/>
    <pivotTable tabId="3" name="PivotTable8"/>
    <pivotTable tabId="3" name="PivotTable11"/>
    <pivotTable tabId="3" name="PivotTable13"/>
    <pivotTable tabId="3" name="PivotTable12"/>
    <pivotTable tabId="3" name="PivotTable16"/>
    <pivotTable tabId="3" name="PivotTable7"/>
    <pivotTable tabId="3" name="PivotTable9"/>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3" name="PivotTable9"/>
    <pivotTable tabId="3" name="PivotTable11"/>
    <pivotTable tabId="3" name="PivotTable16"/>
    <pivotTable tabId="3" name="PivotTable1"/>
    <pivotTable tabId="3" name="PivotTable3"/>
    <pivotTable tabId="3" name="PivotTable4"/>
    <pivotTable tabId="3" name="PivotTable8"/>
    <pivotTable tabId="3" name="PivotTable12"/>
    <pivotTable tabId="3" name="PivotTable13"/>
    <pivotTable tabId="3" name="PivotTable7"/>
  </pivotTables>
  <data>
    <tabular pivotCacheId="1">
      <items count="5">
        <i x="0" s="1"/>
        <i x="4" s="1"/>
        <i x="3"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agnosis" cache="Slicer_Diagnosis" caption="Diagnosis" startItem="1" rowHeight="234950"/>
  <slicer name="Gender" cache="Slicer_Gender" caption="Gender" rowHeight="234950"/>
  <slicer name="Age group" cache="Slicer_Age_group" caption="Age group"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iagnosis 1" cache="Slicer_Diagnosis" caption="Diagnosis" columnCount="2" showCaption="0" style="SlicerStyleDark1 2" rowHeight="274320"/>
  <slicer name="Gender 1" cache="Slicer_Gender" caption="Gender" showCaption="0" style="SlicerStyleDark1 2" rowHeight="234950"/>
  <slicer name="Age group 1" cache="Slicer_Age_group" caption="Age group" columnCount="2" showCaption="0" style="SlicerStyleDark1 2" rowHeight="234950"/>
</slicers>
</file>

<file path=xl/tables/table1.xml><?xml version="1.0" encoding="utf-8"?>
<table xmlns="http://schemas.openxmlformats.org/spreadsheetml/2006/main" id="1" name="Table1" displayName="Table1" ref="A1:S501" totalsRowShown="0">
  <autoFilter ref="A1:S501"/>
  <tableColumns count="19">
    <tableColumn id="1" name="Patient_ID"/>
    <tableColumn id="2" name="Age"/>
    <tableColumn id="3" name="Gender"/>
    <tableColumn id="4" name="BMI"/>
    <tableColumn id="5" name="Systolic"/>
    <tableColumn id="6" name="Diastolic"/>
    <tableColumn id="7" name="Smoker"/>
    <tableColumn id="8" name="Diabetic"/>
    <tableColumn id="9" name="Diagnosis"/>
    <tableColumn id="10" name="Treatment_Cost" dataCellStyle="Currency"/>
    <tableColumn id="11" name="Admission_Date" dataDxfId="7"/>
    <tableColumn id="12" name="Discharge_Date" dataDxfId="6"/>
    <tableColumn id="13" name="Outcome"/>
    <tableColumn id="14" name="Age group" dataDxfId="5">
      <calculatedColumnFormula>IF(Table1[[#This Row],[Age]]&lt;25,"&lt; 25",IF(Table1[[#This Row],[Age]]&lt;36,"25-35",IF(Table1[[#This Row],[Age]]&lt;51,"36-50",IF(Table1[[#This Row],[Age]]&lt;66,"51-65",IF(Table1[[#This Row],[Age]]&gt;65,"&gt;65","none")))))</calculatedColumnFormula>
    </tableColumn>
    <tableColumn id="15" name="smoker and Diabetic" dataDxfId="4">
      <calculatedColumnFormula>IF(AND(Table1[[#This Row],[Smoker]]="Yes",Table1[[#This Row],[Diabetic]]="Yes"),"Yes","No")</calculatedColumnFormula>
    </tableColumn>
    <tableColumn id="16" name="smoker or diabetic" dataDxfId="3">
      <calculatedColumnFormula>IF(OR(Table1[[#This Row],[Smoker]]="Yes",Table1[[#This Row],[Diabetic]]="Yes"),"Yes","No")</calculatedColumnFormula>
    </tableColumn>
    <tableColumn id="18" name="Blood Pressure" dataDxfId="2">
      <calculatedColumnFormula>IF(OR(Table1[[#This Row],[Systolic]]&gt;125,Table1[[#This Row],[Diastolic]]&gt;90),"High","Normal")</calculatedColumnFormula>
    </tableColumn>
    <tableColumn id="19" name="Days on admission" dataDxfId="1">
      <calculatedColumnFormula>Table1[[#This Row],[Discharge_Date]]-Table1[[#This Row],[Admission_Date]]</calculatedColumnFormula>
    </tableColumn>
    <tableColumn id="17"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57"/>
  <sheetViews>
    <sheetView tabSelected="1" zoomScale="70" zoomScaleNormal="70" workbookViewId="0">
      <selection activeCell="C32" sqref="C32"/>
    </sheetView>
  </sheetViews>
  <sheetFormatPr defaultRowHeight="14.4" x14ac:dyDescent="0.3"/>
  <cols>
    <col min="1" max="1" width="15.6640625" customWidth="1"/>
    <col min="2" max="3" width="20.21875" customWidth="1"/>
    <col min="4" max="4" width="15.6640625" customWidth="1"/>
    <col min="5" max="5" width="26.6640625" customWidth="1"/>
    <col min="6" max="6" width="25.77734375" customWidth="1"/>
    <col min="7" max="7" width="18.6640625" customWidth="1"/>
    <col min="8" max="8" width="20.44140625" customWidth="1"/>
    <col min="9" max="9" width="20.77734375" customWidth="1"/>
    <col min="10" max="10" width="16.44140625" customWidth="1"/>
    <col min="11" max="11" width="24.88671875" customWidth="1"/>
    <col min="12" max="12" width="31.6640625" customWidth="1"/>
    <col min="13" max="13" width="29.6640625" customWidth="1"/>
  </cols>
  <sheetData>
    <row r="2" spans="1:13" x14ac:dyDescent="0.3">
      <c r="I2" t="s">
        <v>572</v>
      </c>
      <c r="J2" t="s">
        <v>573</v>
      </c>
      <c r="K2" t="s">
        <v>566</v>
      </c>
      <c r="L2" t="s">
        <v>570</v>
      </c>
      <c r="M2" t="s">
        <v>567</v>
      </c>
    </row>
    <row r="3" spans="1:13" x14ac:dyDescent="0.3">
      <c r="A3" s="4" t="s">
        <v>530</v>
      </c>
      <c r="B3" t="s">
        <v>532</v>
      </c>
      <c r="I3" s="1">
        <v>500</v>
      </c>
      <c r="J3" s="8">
        <v>54.14</v>
      </c>
      <c r="K3" s="10">
        <v>1257213.8500000006</v>
      </c>
      <c r="L3" s="8">
        <v>7.2640000000000002</v>
      </c>
      <c r="M3" s="11">
        <v>2514.4277000000011</v>
      </c>
    </row>
    <row r="4" spans="1:13" x14ac:dyDescent="0.3">
      <c r="A4" s="5" t="s">
        <v>12</v>
      </c>
      <c r="B4" s="1">
        <v>251</v>
      </c>
    </row>
    <row r="5" spans="1:13" x14ac:dyDescent="0.3">
      <c r="A5" s="5" t="s">
        <v>18</v>
      </c>
      <c r="B5" s="1">
        <v>249</v>
      </c>
    </row>
    <row r="6" spans="1:13" x14ac:dyDescent="0.3">
      <c r="A6" s="5" t="s">
        <v>531</v>
      </c>
      <c r="B6" s="1">
        <v>500</v>
      </c>
    </row>
    <row r="11" spans="1:13" x14ac:dyDescent="0.3">
      <c r="A11" s="4" t="s">
        <v>530</v>
      </c>
      <c r="B11" t="s">
        <v>564</v>
      </c>
      <c r="C11" t="s">
        <v>568</v>
      </c>
    </row>
    <row r="12" spans="1:13" x14ac:dyDescent="0.3">
      <c r="A12" s="5" t="s">
        <v>533</v>
      </c>
      <c r="B12" s="1">
        <v>51</v>
      </c>
      <c r="C12" s="1">
        <v>20.901960784313726</v>
      </c>
    </row>
    <row r="13" spans="1:13" x14ac:dyDescent="0.3">
      <c r="A13" s="5" t="s">
        <v>535</v>
      </c>
      <c r="B13" s="1">
        <v>73</v>
      </c>
      <c r="C13" s="1">
        <v>29.726027397260275</v>
      </c>
    </row>
    <row r="14" spans="1:13" x14ac:dyDescent="0.3">
      <c r="A14" s="5" t="s">
        <v>536</v>
      </c>
      <c r="B14" s="1">
        <v>95</v>
      </c>
      <c r="C14" s="1">
        <v>43.168421052631579</v>
      </c>
    </row>
    <row r="15" spans="1:13" x14ac:dyDescent="0.3">
      <c r="A15" s="5" t="s">
        <v>537</v>
      </c>
      <c r="B15" s="1">
        <v>115</v>
      </c>
      <c r="C15" s="1">
        <v>58.356521739130436</v>
      </c>
    </row>
    <row r="16" spans="1:13" x14ac:dyDescent="0.3">
      <c r="A16" s="5" t="s">
        <v>534</v>
      </c>
      <c r="B16" s="1">
        <v>166</v>
      </c>
      <c r="C16" s="1">
        <v>78.445783132530124</v>
      </c>
    </row>
    <row r="17" spans="1:11" x14ac:dyDescent="0.3">
      <c r="A17" s="5" t="s">
        <v>531</v>
      </c>
      <c r="B17" s="1">
        <v>500</v>
      </c>
      <c r="C17" s="8">
        <v>54.14</v>
      </c>
    </row>
    <row r="20" spans="1:11" x14ac:dyDescent="0.3">
      <c r="A20" s="4" t="s">
        <v>530</v>
      </c>
      <c r="B20" t="s">
        <v>538</v>
      </c>
      <c r="D20" s="4" t="s">
        <v>530</v>
      </c>
      <c r="E20" t="s">
        <v>539</v>
      </c>
      <c r="G20" s="4" t="s">
        <v>530</v>
      </c>
      <c r="H20" t="s">
        <v>540</v>
      </c>
      <c r="J20" s="4" t="s">
        <v>530</v>
      </c>
      <c r="K20" t="s">
        <v>541</v>
      </c>
    </row>
    <row r="21" spans="1:11" x14ac:dyDescent="0.3">
      <c r="A21" s="5" t="s">
        <v>13</v>
      </c>
      <c r="B21" s="1">
        <v>263</v>
      </c>
      <c r="D21" s="5" t="s">
        <v>13</v>
      </c>
      <c r="E21" s="1">
        <v>239</v>
      </c>
      <c r="G21" s="5" t="s">
        <v>13</v>
      </c>
      <c r="H21" s="1">
        <v>126</v>
      </c>
      <c r="J21" s="5" t="s">
        <v>13</v>
      </c>
      <c r="K21" s="1">
        <v>376</v>
      </c>
    </row>
    <row r="22" spans="1:11" x14ac:dyDescent="0.3">
      <c r="A22" s="5" t="s">
        <v>14</v>
      </c>
      <c r="B22" s="1">
        <v>237</v>
      </c>
      <c r="D22" s="5" t="s">
        <v>14</v>
      </c>
      <c r="E22" s="1">
        <v>261</v>
      </c>
      <c r="G22" s="5" t="s">
        <v>14</v>
      </c>
      <c r="H22" s="1">
        <v>374</v>
      </c>
      <c r="J22" s="5" t="s">
        <v>14</v>
      </c>
      <c r="K22" s="1">
        <v>124</v>
      </c>
    </row>
    <row r="23" spans="1:11" x14ac:dyDescent="0.3">
      <c r="A23" s="5" t="s">
        <v>531</v>
      </c>
      <c r="B23" s="1">
        <v>500</v>
      </c>
      <c r="D23" s="5" t="s">
        <v>531</v>
      </c>
      <c r="E23" s="1">
        <v>500</v>
      </c>
      <c r="G23" s="5" t="s">
        <v>531</v>
      </c>
      <c r="H23" s="1">
        <v>500</v>
      </c>
      <c r="J23" s="5" t="s">
        <v>531</v>
      </c>
      <c r="K23" s="1">
        <v>500</v>
      </c>
    </row>
    <row r="26" spans="1:11" x14ac:dyDescent="0.3">
      <c r="E26" s="4" t="s">
        <v>530</v>
      </c>
      <c r="F26" t="s">
        <v>544</v>
      </c>
    </row>
    <row r="27" spans="1:11" x14ac:dyDescent="0.3">
      <c r="A27" s="5"/>
      <c r="B27" s="1"/>
      <c r="C27" s="1"/>
      <c r="E27" s="5" t="s">
        <v>542</v>
      </c>
      <c r="F27" s="1">
        <v>410</v>
      </c>
    </row>
    <row r="28" spans="1:11" x14ac:dyDescent="0.3">
      <c r="A28" s="5"/>
      <c r="B28" s="1"/>
      <c r="C28" s="1"/>
      <c r="E28" s="5" t="s">
        <v>543</v>
      </c>
      <c r="F28" s="1">
        <v>90</v>
      </c>
    </row>
    <row r="29" spans="1:11" x14ac:dyDescent="0.3">
      <c r="A29" s="5"/>
      <c r="B29" s="1"/>
      <c r="C29" s="1"/>
      <c r="E29" s="5" t="s">
        <v>531</v>
      </c>
      <c r="F29" s="1">
        <v>500</v>
      </c>
      <c r="G29" s="4" t="s">
        <v>6</v>
      </c>
      <c r="H29" t="s">
        <v>565</v>
      </c>
    </row>
    <row r="30" spans="1:11" x14ac:dyDescent="0.3">
      <c r="G30" s="4" t="s">
        <v>10</v>
      </c>
      <c r="H30" t="s">
        <v>565</v>
      </c>
    </row>
    <row r="32" spans="1:11" x14ac:dyDescent="0.3">
      <c r="A32" s="4" t="s">
        <v>6</v>
      </c>
      <c r="B32" t="s">
        <v>566</v>
      </c>
      <c r="D32" s="4" t="s">
        <v>530</v>
      </c>
      <c r="E32" t="s">
        <v>560</v>
      </c>
      <c r="G32" s="4" t="s">
        <v>563</v>
      </c>
      <c r="H32" t="s">
        <v>564</v>
      </c>
    </row>
    <row r="33" spans="1:12" x14ac:dyDescent="0.3">
      <c r="A33" s="5" t="s">
        <v>15</v>
      </c>
      <c r="B33" s="1">
        <v>275798.10000000009</v>
      </c>
      <c r="D33" s="5" t="s">
        <v>561</v>
      </c>
      <c r="E33" s="1"/>
      <c r="G33" s="5">
        <v>1</v>
      </c>
      <c r="H33" s="1">
        <v>47</v>
      </c>
      <c r="K33" s="10"/>
      <c r="L33" s="7"/>
    </row>
    <row r="34" spans="1:12" x14ac:dyDescent="0.3">
      <c r="A34" s="5" t="s">
        <v>25</v>
      </c>
      <c r="B34" s="1">
        <v>216275.95000000004</v>
      </c>
      <c r="D34" s="6" t="s">
        <v>557</v>
      </c>
      <c r="E34" s="1">
        <v>36</v>
      </c>
      <c r="G34" s="5">
        <v>2</v>
      </c>
      <c r="H34" s="1">
        <v>32</v>
      </c>
    </row>
    <row r="35" spans="1:12" x14ac:dyDescent="0.3">
      <c r="A35" s="5" t="s">
        <v>32</v>
      </c>
      <c r="B35" s="1">
        <v>239888.60000000003</v>
      </c>
      <c r="D35" s="6" t="s">
        <v>558</v>
      </c>
      <c r="E35" s="1">
        <v>43</v>
      </c>
      <c r="G35" s="5">
        <v>3</v>
      </c>
      <c r="H35" s="1">
        <v>39</v>
      </c>
    </row>
    <row r="36" spans="1:12" x14ac:dyDescent="0.3">
      <c r="A36" s="5" t="s">
        <v>21</v>
      </c>
      <c r="B36" s="1">
        <v>275625.76999999996</v>
      </c>
      <c r="D36" s="6" t="s">
        <v>559</v>
      </c>
      <c r="E36" s="1">
        <v>44</v>
      </c>
      <c r="G36" s="5">
        <v>4</v>
      </c>
      <c r="H36" s="1">
        <v>39</v>
      </c>
    </row>
    <row r="37" spans="1:12" x14ac:dyDescent="0.3">
      <c r="A37" s="5" t="s">
        <v>34</v>
      </c>
      <c r="B37" s="1">
        <v>249625.42999999993</v>
      </c>
      <c r="D37" s="5" t="s">
        <v>562</v>
      </c>
      <c r="E37" s="1"/>
      <c r="G37" s="5">
        <v>5</v>
      </c>
      <c r="H37" s="1">
        <v>36</v>
      </c>
    </row>
    <row r="38" spans="1:12" x14ac:dyDescent="0.3">
      <c r="A38" s="5" t="s">
        <v>531</v>
      </c>
      <c r="B38" s="1">
        <v>1257213.8500000001</v>
      </c>
      <c r="D38" s="6" t="s">
        <v>548</v>
      </c>
      <c r="E38" s="1">
        <v>50</v>
      </c>
      <c r="G38" s="5">
        <v>6</v>
      </c>
      <c r="H38" s="1">
        <v>35</v>
      </c>
    </row>
    <row r="39" spans="1:12" x14ac:dyDescent="0.3">
      <c r="D39" s="6" t="s">
        <v>549</v>
      </c>
      <c r="E39" s="1">
        <v>30</v>
      </c>
      <c r="G39" s="5">
        <v>7</v>
      </c>
      <c r="H39" s="1">
        <v>25</v>
      </c>
    </row>
    <row r="40" spans="1:12" x14ac:dyDescent="0.3">
      <c r="D40" s="6" t="s">
        <v>550</v>
      </c>
      <c r="E40" s="1">
        <v>49</v>
      </c>
      <c r="G40" s="5">
        <v>8</v>
      </c>
      <c r="H40" s="1">
        <v>39</v>
      </c>
    </row>
    <row r="41" spans="1:12" x14ac:dyDescent="0.3">
      <c r="A41" s="4" t="s">
        <v>547</v>
      </c>
      <c r="B41" t="s">
        <v>546</v>
      </c>
      <c r="C41" t="s">
        <v>571</v>
      </c>
      <c r="D41" s="6" t="s">
        <v>551</v>
      </c>
      <c r="E41" s="1">
        <v>33</v>
      </c>
      <c r="G41" s="5">
        <v>9</v>
      </c>
      <c r="H41" s="1">
        <v>35</v>
      </c>
    </row>
    <row r="42" spans="1:12" x14ac:dyDescent="0.3">
      <c r="A42" s="5" t="s">
        <v>23</v>
      </c>
      <c r="B42" s="1">
        <v>163</v>
      </c>
      <c r="C42" s="9">
        <v>0.32600000000000001</v>
      </c>
      <c r="D42" s="6" t="s">
        <v>552</v>
      </c>
      <c r="E42" s="1">
        <v>39</v>
      </c>
      <c r="G42" s="5">
        <v>10</v>
      </c>
      <c r="H42" s="1">
        <v>36</v>
      </c>
    </row>
    <row r="43" spans="1:12" x14ac:dyDescent="0.3">
      <c r="A43" s="5" t="s">
        <v>16</v>
      </c>
      <c r="B43" s="1">
        <v>159</v>
      </c>
      <c r="C43" s="9">
        <v>0.318</v>
      </c>
      <c r="D43" s="6" t="s">
        <v>553</v>
      </c>
      <c r="E43" s="1">
        <v>43</v>
      </c>
      <c r="G43" s="5">
        <v>11</v>
      </c>
      <c r="H43" s="1">
        <v>38</v>
      </c>
      <c r="J43" s="5"/>
      <c r="K43" s="1"/>
    </row>
    <row r="44" spans="1:12" x14ac:dyDescent="0.3">
      <c r="A44" s="5" t="s">
        <v>19</v>
      </c>
      <c r="B44" s="1">
        <v>178</v>
      </c>
      <c r="C44" s="9">
        <v>0.35599999999999998</v>
      </c>
      <c r="D44" s="6" t="s">
        <v>554</v>
      </c>
      <c r="E44" s="1">
        <v>45</v>
      </c>
      <c r="G44" s="5">
        <v>12</v>
      </c>
      <c r="H44" s="1">
        <v>39</v>
      </c>
      <c r="J44" s="5"/>
      <c r="K44" s="1"/>
    </row>
    <row r="45" spans="1:12" x14ac:dyDescent="0.3">
      <c r="A45" s="5" t="s">
        <v>531</v>
      </c>
      <c r="B45" s="1">
        <v>500</v>
      </c>
      <c r="C45" s="9">
        <v>1</v>
      </c>
      <c r="D45" s="6" t="s">
        <v>555</v>
      </c>
      <c r="E45" s="1">
        <v>45</v>
      </c>
      <c r="G45" s="5">
        <v>13</v>
      </c>
      <c r="H45" s="1">
        <v>30</v>
      </c>
      <c r="J45" s="5"/>
      <c r="K45" s="1"/>
    </row>
    <row r="46" spans="1:12" x14ac:dyDescent="0.3">
      <c r="D46" s="6" t="s">
        <v>556</v>
      </c>
      <c r="E46" s="1">
        <v>36</v>
      </c>
      <c r="G46" s="5">
        <v>14</v>
      </c>
      <c r="H46" s="1">
        <v>30</v>
      </c>
      <c r="J46" s="5"/>
      <c r="K46" s="1"/>
    </row>
    <row r="47" spans="1:12" x14ac:dyDescent="0.3">
      <c r="D47" s="6" t="s">
        <v>557</v>
      </c>
      <c r="E47" s="1">
        <v>7</v>
      </c>
      <c r="G47" s="5" t="s">
        <v>531</v>
      </c>
      <c r="H47" s="1">
        <v>500</v>
      </c>
      <c r="J47" s="5"/>
      <c r="K47" s="1"/>
    </row>
    <row r="48" spans="1:12" x14ac:dyDescent="0.3">
      <c r="B48">
        <f>163/500</f>
        <v>0.32600000000000001</v>
      </c>
      <c r="D48" s="5" t="s">
        <v>531</v>
      </c>
      <c r="E48" s="1">
        <v>500</v>
      </c>
      <c r="J48" s="5"/>
      <c r="K48" s="1"/>
    </row>
    <row r="49" spans="1:11" x14ac:dyDescent="0.3">
      <c r="J49" s="5"/>
      <c r="K49" s="1"/>
    </row>
    <row r="50" spans="1:11" x14ac:dyDescent="0.3">
      <c r="J50" s="5"/>
      <c r="K50" s="1"/>
    </row>
    <row r="51" spans="1:11" x14ac:dyDescent="0.3">
      <c r="A51" s="4" t="s">
        <v>530</v>
      </c>
      <c r="B51" t="s">
        <v>545</v>
      </c>
      <c r="J51" s="5"/>
      <c r="K51" s="1"/>
    </row>
    <row r="52" spans="1:11" x14ac:dyDescent="0.3">
      <c r="A52" s="5" t="s">
        <v>15</v>
      </c>
      <c r="B52" s="1">
        <v>115</v>
      </c>
      <c r="J52" s="5"/>
      <c r="K52" s="1"/>
    </row>
    <row r="53" spans="1:11" x14ac:dyDescent="0.3">
      <c r="A53" s="5" t="s">
        <v>25</v>
      </c>
      <c r="B53" s="1">
        <v>85</v>
      </c>
      <c r="J53" s="5"/>
      <c r="K53" s="1"/>
    </row>
    <row r="54" spans="1:11" x14ac:dyDescent="0.3">
      <c r="A54" s="5" t="s">
        <v>32</v>
      </c>
      <c r="B54" s="1">
        <v>90</v>
      </c>
      <c r="J54" s="5"/>
      <c r="K54" s="1"/>
    </row>
    <row r="55" spans="1:11" x14ac:dyDescent="0.3">
      <c r="A55" s="5" t="s">
        <v>21</v>
      </c>
      <c r="B55" s="1">
        <v>106</v>
      </c>
      <c r="J55" s="5"/>
      <c r="K55" s="1"/>
    </row>
    <row r="56" spans="1:11" x14ac:dyDescent="0.3">
      <c r="A56" s="5" t="s">
        <v>34</v>
      </c>
      <c r="B56" s="1">
        <v>104</v>
      </c>
      <c r="J56" s="5"/>
      <c r="K56" s="1"/>
    </row>
    <row r="57" spans="1:11" x14ac:dyDescent="0.3">
      <c r="A57" s="5" t="s">
        <v>531</v>
      </c>
      <c r="B57" s="1">
        <v>500</v>
      </c>
      <c r="J57" s="5"/>
      <c r="K57" s="8"/>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topLeftCell="A2" workbookViewId="0">
      <selection activeCell="S2" sqref="A2:S501"/>
    </sheetView>
  </sheetViews>
  <sheetFormatPr defaultRowHeight="14.4" x14ac:dyDescent="0.3"/>
  <cols>
    <col min="1" max="1" width="11.6640625" customWidth="1"/>
    <col min="2" max="2" width="6.109375" customWidth="1"/>
    <col min="3" max="3" width="9" customWidth="1"/>
    <col min="4" max="4" width="6.33203125" customWidth="1"/>
    <col min="5" max="5" width="15.88671875" customWidth="1"/>
    <col min="6" max="6" width="17.6640625" customWidth="1"/>
    <col min="7" max="7" width="9.33203125" customWidth="1"/>
    <col min="8" max="8" width="9.6640625" customWidth="1"/>
    <col min="9" max="9" width="12.21875" customWidth="1"/>
    <col min="10" max="10" width="16.33203125" style="2" customWidth="1"/>
    <col min="11" max="11" width="16.44140625" style="3" customWidth="1"/>
    <col min="12" max="12" width="16.77734375" style="3" customWidth="1"/>
    <col min="13" max="13" width="10.6640625" customWidth="1"/>
    <col min="14" max="14" width="11.88671875" customWidth="1"/>
    <col min="15" max="15" width="20.5546875" customWidth="1"/>
    <col min="16" max="16" width="18.88671875" customWidth="1"/>
    <col min="18" max="18" width="18.88671875" customWidth="1"/>
  </cols>
  <sheetData>
    <row r="1" spans="1:19" x14ac:dyDescent="0.3">
      <c r="A1" t="s">
        <v>0</v>
      </c>
      <c r="B1" t="s">
        <v>1</v>
      </c>
      <c r="C1" t="s">
        <v>2</v>
      </c>
      <c r="D1" t="s">
        <v>3</v>
      </c>
      <c r="E1" t="s">
        <v>526</v>
      </c>
      <c r="F1" t="s">
        <v>527</v>
      </c>
      <c r="G1" t="s">
        <v>4</v>
      </c>
      <c r="H1" t="s">
        <v>5</v>
      </c>
      <c r="I1" t="s">
        <v>6</v>
      </c>
      <c r="J1" s="2" t="s">
        <v>7</v>
      </c>
      <c r="K1" s="3" t="s">
        <v>8</v>
      </c>
      <c r="L1" s="3" t="s">
        <v>9</v>
      </c>
      <c r="M1" t="s">
        <v>10</v>
      </c>
      <c r="N1" t="s">
        <v>523</v>
      </c>
      <c r="O1" t="s">
        <v>524</v>
      </c>
      <c r="P1" t="s">
        <v>525</v>
      </c>
      <c r="Q1" t="s">
        <v>528</v>
      </c>
      <c r="R1" t="s">
        <v>529</v>
      </c>
      <c r="S1" t="s">
        <v>569</v>
      </c>
    </row>
    <row r="2" spans="1:19" x14ac:dyDescent="0.3">
      <c r="A2" t="s">
        <v>11</v>
      </c>
      <c r="B2">
        <v>20</v>
      </c>
      <c r="C2" t="s">
        <v>12</v>
      </c>
      <c r="D2">
        <v>24.7</v>
      </c>
      <c r="E2">
        <v>104</v>
      </c>
      <c r="F2">
        <v>72</v>
      </c>
      <c r="G2" t="s">
        <v>13</v>
      </c>
      <c r="H2" t="s">
        <v>14</v>
      </c>
      <c r="I2" t="s">
        <v>15</v>
      </c>
      <c r="J2" s="2">
        <v>3328.6</v>
      </c>
      <c r="K2" s="3">
        <v>45677</v>
      </c>
      <c r="L2" s="3">
        <v>45689</v>
      </c>
      <c r="M2" t="s">
        <v>16</v>
      </c>
      <c r="N2" t="str">
        <f>IF(Table1[[#This Row],[Age]]&lt;25,"&lt; 25",IF(Table1[[#This Row],[Age]]&lt;36,"25-35",IF(Table1[[#This Row],[Age]]&lt;51,"36-50",IF(Table1[[#This Row],[Age]]&lt;66,"51-65",IF(Table1[[#This Row],[Age]]&gt;65,"&gt;65","none")))))</f>
        <v>&lt; 25</v>
      </c>
      <c r="O2" t="str">
        <f>IF(AND(Table1[[#This Row],[Smoker]]="Yes",Table1[[#This Row],[Diabetic]]="Yes"),"Yes","No")</f>
        <v>No</v>
      </c>
      <c r="P2" t="str">
        <f>IF(OR(Table1[[#This Row],[Smoker]]="Yes",Table1[[#This Row],[Diabetic]]="Yes"),"Yes","No")</f>
        <v>Yes</v>
      </c>
      <c r="Q2" s="1" t="str">
        <f>IF(OR(Table1[[#This Row],[Systolic]]&gt;125,Table1[[#This Row],[Diastolic]]&gt;90),"High","Normal")</f>
        <v>Normal</v>
      </c>
      <c r="R2" s="1">
        <f>Table1[[#This Row],[Discharge_Date]]-Table1[[#This Row],[Admission_Date]]</f>
        <v>12</v>
      </c>
      <c r="S2" s="1">
        <f>COUNT(Table1[Diastolic])</f>
        <v>500</v>
      </c>
    </row>
    <row r="3" spans="1:19" x14ac:dyDescent="0.3">
      <c r="A3" t="s">
        <v>17</v>
      </c>
      <c r="B3">
        <v>47</v>
      </c>
      <c r="C3" t="s">
        <v>18</v>
      </c>
      <c r="D3">
        <v>38.5</v>
      </c>
      <c r="E3">
        <v>147</v>
      </c>
      <c r="F3">
        <v>88</v>
      </c>
      <c r="G3" t="s">
        <v>14</v>
      </c>
      <c r="H3" t="s">
        <v>13</v>
      </c>
      <c r="I3" t="s">
        <v>15</v>
      </c>
      <c r="J3" s="2">
        <v>1041.69</v>
      </c>
      <c r="K3" s="3">
        <v>45839</v>
      </c>
      <c r="L3" s="3">
        <v>45842</v>
      </c>
      <c r="M3" t="s">
        <v>19</v>
      </c>
      <c r="N3" t="str">
        <f>IF(Table1[[#This Row],[Age]]&lt;25,"&lt; 25",IF(Table1[[#This Row],[Age]]&lt;36,"25-35",IF(Table1[[#This Row],[Age]]&lt;51,"36-50",IF(Table1[[#This Row],[Age]]&lt;66,"51-65",IF(Table1[[#This Row],[Age]]&gt;65,"&gt;65","none")))))</f>
        <v>36-50</v>
      </c>
      <c r="O3" t="str">
        <f>IF(AND(Table1[[#This Row],[Smoker]]="Yes",Table1[[#This Row],[Diabetic]]="Yes"),"Yes","No")</f>
        <v>No</v>
      </c>
      <c r="P3" t="str">
        <f>IF(OR(Table1[[#This Row],[Smoker]]="Yes",Table1[[#This Row],[Diabetic]]="Yes"),"Yes","No")</f>
        <v>Yes</v>
      </c>
      <c r="Q3" s="1" t="str">
        <f>IF(OR(Table1[[#This Row],[Systolic]]&gt;125,Table1[[#This Row],[Diastolic]]&gt;90),"High","Normal")</f>
        <v>High</v>
      </c>
      <c r="R3" s="1">
        <f>Table1[[#This Row],[Discharge_Date]]-Table1[[#This Row],[Admission_Date]]</f>
        <v>3</v>
      </c>
      <c r="S3" s="1"/>
    </row>
    <row r="4" spans="1:19" x14ac:dyDescent="0.3">
      <c r="A4" t="s">
        <v>20</v>
      </c>
      <c r="B4">
        <v>21</v>
      </c>
      <c r="C4" t="s">
        <v>18</v>
      </c>
      <c r="D4">
        <v>18.5</v>
      </c>
      <c r="E4">
        <v>145</v>
      </c>
      <c r="F4">
        <v>65</v>
      </c>
      <c r="G4" t="s">
        <v>13</v>
      </c>
      <c r="H4" t="s">
        <v>14</v>
      </c>
      <c r="I4" t="s">
        <v>21</v>
      </c>
      <c r="J4" s="2">
        <v>909.11</v>
      </c>
      <c r="K4" s="3">
        <v>45836</v>
      </c>
      <c r="L4" s="3">
        <v>45844</v>
      </c>
      <c r="M4" t="s">
        <v>19</v>
      </c>
      <c r="N4" t="str">
        <f>IF(Table1[[#This Row],[Age]]&lt;25,"&lt; 25",IF(Table1[[#This Row],[Age]]&lt;36,"25-35",IF(Table1[[#This Row],[Age]]&lt;51,"36-50",IF(Table1[[#This Row],[Age]]&lt;66,"51-65",IF(Table1[[#This Row],[Age]]&gt;65,"&gt;65","none")))))</f>
        <v>&lt; 25</v>
      </c>
      <c r="O4" t="str">
        <f>IF(AND(Table1[[#This Row],[Smoker]]="Yes",Table1[[#This Row],[Diabetic]]="Yes"),"Yes","No")</f>
        <v>No</v>
      </c>
      <c r="P4" t="str">
        <f>IF(OR(Table1[[#This Row],[Smoker]]="Yes",Table1[[#This Row],[Diabetic]]="Yes"),"Yes","No")</f>
        <v>Yes</v>
      </c>
      <c r="Q4" s="1" t="str">
        <f>IF(OR(Table1[[#This Row],[Systolic]]&gt;125,Table1[[#This Row],[Diastolic]]&gt;90),"High","Normal")</f>
        <v>High</v>
      </c>
      <c r="R4" s="1">
        <f>Table1[[#This Row],[Discharge_Date]]-Table1[[#This Row],[Admission_Date]]</f>
        <v>8</v>
      </c>
      <c r="S4" s="1"/>
    </row>
    <row r="5" spans="1:19" x14ac:dyDescent="0.3">
      <c r="A5" t="s">
        <v>22</v>
      </c>
      <c r="B5">
        <v>57</v>
      </c>
      <c r="C5" t="s">
        <v>18</v>
      </c>
      <c r="D5">
        <v>24.1</v>
      </c>
      <c r="E5">
        <v>166</v>
      </c>
      <c r="F5">
        <v>66</v>
      </c>
      <c r="G5" t="s">
        <v>14</v>
      </c>
      <c r="H5" t="s">
        <v>14</v>
      </c>
      <c r="I5" t="s">
        <v>21</v>
      </c>
      <c r="J5" s="2">
        <v>1920.12</v>
      </c>
      <c r="K5" s="3">
        <v>45698</v>
      </c>
      <c r="L5" s="3">
        <v>45706</v>
      </c>
      <c r="M5" t="s">
        <v>23</v>
      </c>
      <c r="N5" t="str">
        <f>IF(Table1[[#This Row],[Age]]&lt;25,"&lt; 25",IF(Table1[[#This Row],[Age]]&lt;36,"25-35",IF(Table1[[#This Row],[Age]]&lt;51,"36-50",IF(Table1[[#This Row],[Age]]&lt;66,"51-65",IF(Table1[[#This Row],[Age]]&gt;65,"&gt;65","none")))))</f>
        <v>51-65</v>
      </c>
      <c r="O5" t="str">
        <f>IF(AND(Table1[[#This Row],[Smoker]]="Yes",Table1[[#This Row],[Diabetic]]="Yes"),"Yes","No")</f>
        <v>Yes</v>
      </c>
      <c r="P5" t="str">
        <f>IF(OR(Table1[[#This Row],[Smoker]]="Yes",Table1[[#This Row],[Diabetic]]="Yes"),"Yes","No")</f>
        <v>Yes</v>
      </c>
      <c r="Q5" s="1" t="str">
        <f>IF(OR(Table1[[#This Row],[Systolic]]&gt;125,Table1[[#This Row],[Diastolic]]&gt;90),"High","Normal")</f>
        <v>High</v>
      </c>
      <c r="R5" s="1">
        <f>Table1[[#This Row],[Discharge_Date]]-Table1[[#This Row],[Admission_Date]]</f>
        <v>8</v>
      </c>
      <c r="S5" s="1"/>
    </row>
    <row r="6" spans="1:19" x14ac:dyDescent="0.3">
      <c r="A6" t="s">
        <v>24</v>
      </c>
      <c r="B6">
        <v>28</v>
      </c>
      <c r="C6" t="s">
        <v>18</v>
      </c>
      <c r="D6">
        <v>22.5</v>
      </c>
      <c r="E6">
        <v>176</v>
      </c>
      <c r="F6">
        <v>71</v>
      </c>
      <c r="G6" t="s">
        <v>14</v>
      </c>
      <c r="H6" t="s">
        <v>13</v>
      </c>
      <c r="I6" t="s">
        <v>25</v>
      </c>
      <c r="J6" s="2">
        <v>3224.12</v>
      </c>
      <c r="K6" s="3">
        <v>45765</v>
      </c>
      <c r="L6" s="3">
        <v>45774</v>
      </c>
      <c r="M6" t="s">
        <v>23</v>
      </c>
      <c r="N6" t="str">
        <f>IF(Table1[[#This Row],[Age]]&lt;25,"&lt; 25",IF(Table1[[#This Row],[Age]]&lt;36,"25-35",IF(Table1[[#This Row],[Age]]&lt;51,"36-50",IF(Table1[[#This Row],[Age]]&lt;66,"51-65",IF(Table1[[#This Row],[Age]]&gt;65,"&gt;65","none")))))</f>
        <v>25-35</v>
      </c>
      <c r="O6" t="str">
        <f>IF(AND(Table1[[#This Row],[Smoker]]="Yes",Table1[[#This Row],[Diabetic]]="Yes"),"Yes","No")</f>
        <v>No</v>
      </c>
      <c r="P6" t="str">
        <f>IF(OR(Table1[[#This Row],[Smoker]]="Yes",Table1[[#This Row],[Diabetic]]="Yes"),"Yes","No")</f>
        <v>Yes</v>
      </c>
      <c r="Q6" s="1" t="str">
        <f>IF(OR(Table1[[#This Row],[Systolic]]&gt;125,Table1[[#This Row],[Diastolic]]&gt;90),"High","Normal")</f>
        <v>High</v>
      </c>
      <c r="R6" s="1">
        <f>Table1[[#This Row],[Discharge_Date]]-Table1[[#This Row],[Admission_Date]]</f>
        <v>9</v>
      </c>
      <c r="S6" s="1"/>
    </row>
    <row r="7" spans="1:19" x14ac:dyDescent="0.3">
      <c r="A7" t="s">
        <v>26</v>
      </c>
      <c r="B7">
        <v>31</v>
      </c>
      <c r="C7" t="s">
        <v>12</v>
      </c>
      <c r="D7">
        <v>37.5</v>
      </c>
      <c r="E7">
        <v>149</v>
      </c>
      <c r="F7">
        <v>82</v>
      </c>
      <c r="G7" t="s">
        <v>13</v>
      </c>
      <c r="H7" t="s">
        <v>14</v>
      </c>
      <c r="I7" t="s">
        <v>21</v>
      </c>
      <c r="J7" s="2">
        <v>3415.88</v>
      </c>
      <c r="K7" s="3">
        <v>45709</v>
      </c>
      <c r="L7" s="3">
        <v>45715</v>
      </c>
      <c r="M7" t="s">
        <v>16</v>
      </c>
      <c r="N7" t="str">
        <f>IF(Table1[[#This Row],[Age]]&lt;25,"&lt; 25",IF(Table1[[#This Row],[Age]]&lt;36,"25-35",IF(Table1[[#This Row],[Age]]&lt;51,"36-50",IF(Table1[[#This Row],[Age]]&lt;66,"51-65",IF(Table1[[#This Row],[Age]]&gt;65,"&gt;65","none")))))</f>
        <v>25-35</v>
      </c>
      <c r="O7" t="str">
        <f>IF(AND(Table1[[#This Row],[Smoker]]="Yes",Table1[[#This Row],[Diabetic]]="Yes"),"Yes","No")</f>
        <v>No</v>
      </c>
      <c r="P7" t="str">
        <f>IF(OR(Table1[[#This Row],[Smoker]]="Yes",Table1[[#This Row],[Diabetic]]="Yes"),"Yes","No")</f>
        <v>Yes</v>
      </c>
      <c r="Q7" s="1" t="str">
        <f>IF(OR(Table1[[#This Row],[Systolic]]&gt;125,Table1[[#This Row],[Diastolic]]&gt;90),"High","Normal")</f>
        <v>High</v>
      </c>
      <c r="R7" s="1">
        <f>Table1[[#This Row],[Discharge_Date]]-Table1[[#This Row],[Admission_Date]]</f>
        <v>6</v>
      </c>
      <c r="S7" s="1"/>
    </row>
    <row r="8" spans="1:19" x14ac:dyDescent="0.3">
      <c r="A8" t="s">
        <v>27</v>
      </c>
      <c r="B8">
        <v>74</v>
      </c>
      <c r="C8" t="s">
        <v>12</v>
      </c>
      <c r="D8">
        <v>23.4</v>
      </c>
      <c r="E8">
        <v>177</v>
      </c>
      <c r="F8">
        <v>95</v>
      </c>
      <c r="G8" t="s">
        <v>14</v>
      </c>
      <c r="H8" t="s">
        <v>14</v>
      </c>
      <c r="I8" t="s">
        <v>21</v>
      </c>
      <c r="J8" s="2">
        <v>3744.37</v>
      </c>
      <c r="K8" s="3">
        <v>45591</v>
      </c>
      <c r="L8" s="3">
        <v>45598</v>
      </c>
      <c r="M8" t="s">
        <v>16</v>
      </c>
      <c r="N8" t="str">
        <f>IF(Table1[[#This Row],[Age]]&lt;25,"&lt; 25",IF(Table1[[#This Row],[Age]]&lt;36,"25-35",IF(Table1[[#This Row],[Age]]&lt;51,"36-50",IF(Table1[[#This Row],[Age]]&lt;66,"51-65",IF(Table1[[#This Row],[Age]]&gt;65,"&gt;65","none")))))</f>
        <v>&gt;65</v>
      </c>
      <c r="O8" t="str">
        <f>IF(AND(Table1[[#This Row],[Smoker]]="Yes",Table1[[#This Row],[Diabetic]]="Yes"),"Yes","No")</f>
        <v>Yes</v>
      </c>
      <c r="P8" t="str">
        <f>IF(OR(Table1[[#This Row],[Smoker]]="Yes",Table1[[#This Row],[Diabetic]]="Yes"),"Yes","No")</f>
        <v>Yes</v>
      </c>
      <c r="Q8" s="1" t="str">
        <f>IF(OR(Table1[[#This Row],[Systolic]]&gt;125,Table1[[#This Row],[Diastolic]]&gt;90),"High","Normal")</f>
        <v>High</v>
      </c>
      <c r="R8" s="1">
        <f>Table1[[#This Row],[Discharge_Date]]-Table1[[#This Row],[Admission_Date]]</f>
        <v>7</v>
      </c>
      <c r="S8" s="1"/>
    </row>
    <row r="9" spans="1:19" x14ac:dyDescent="0.3">
      <c r="A9" t="s">
        <v>28</v>
      </c>
      <c r="B9">
        <v>62</v>
      </c>
      <c r="C9" t="s">
        <v>18</v>
      </c>
      <c r="D9">
        <v>31.5</v>
      </c>
      <c r="E9">
        <v>93</v>
      </c>
      <c r="F9">
        <v>60</v>
      </c>
      <c r="G9" t="s">
        <v>14</v>
      </c>
      <c r="H9" t="s">
        <v>13</v>
      </c>
      <c r="I9" t="s">
        <v>21</v>
      </c>
      <c r="J9" s="2">
        <v>3534.23</v>
      </c>
      <c r="K9" s="3">
        <v>45850</v>
      </c>
      <c r="L9" s="3">
        <v>45851</v>
      </c>
      <c r="M9" t="s">
        <v>19</v>
      </c>
      <c r="N9" t="str">
        <f>IF(Table1[[#This Row],[Age]]&lt;25,"&lt; 25",IF(Table1[[#This Row],[Age]]&lt;36,"25-35",IF(Table1[[#This Row],[Age]]&lt;51,"36-50",IF(Table1[[#This Row],[Age]]&lt;66,"51-65",IF(Table1[[#This Row],[Age]]&gt;65,"&gt;65","none")))))</f>
        <v>51-65</v>
      </c>
      <c r="O9" t="str">
        <f>IF(AND(Table1[[#This Row],[Smoker]]="Yes",Table1[[#This Row],[Diabetic]]="Yes"),"Yes","No")</f>
        <v>No</v>
      </c>
      <c r="P9" t="str">
        <f>IF(OR(Table1[[#This Row],[Smoker]]="Yes",Table1[[#This Row],[Diabetic]]="Yes"),"Yes","No")</f>
        <v>Yes</v>
      </c>
      <c r="Q9" s="1" t="str">
        <f>IF(OR(Table1[[#This Row],[Systolic]]&gt;125,Table1[[#This Row],[Diastolic]]&gt;90),"High","Normal")</f>
        <v>Normal</v>
      </c>
      <c r="R9" s="1">
        <f>Table1[[#This Row],[Discharge_Date]]-Table1[[#This Row],[Admission_Date]]</f>
        <v>1</v>
      </c>
      <c r="S9" s="1"/>
    </row>
    <row r="10" spans="1:19" x14ac:dyDescent="0.3">
      <c r="A10" t="s">
        <v>29</v>
      </c>
      <c r="B10">
        <v>85</v>
      </c>
      <c r="C10" t="s">
        <v>12</v>
      </c>
      <c r="D10">
        <v>22.1</v>
      </c>
      <c r="E10">
        <v>152</v>
      </c>
      <c r="F10">
        <v>94</v>
      </c>
      <c r="G10" t="s">
        <v>13</v>
      </c>
      <c r="H10" t="s">
        <v>14</v>
      </c>
      <c r="I10" t="s">
        <v>21</v>
      </c>
      <c r="J10" s="2">
        <v>4110.78</v>
      </c>
      <c r="K10" s="3">
        <v>45644</v>
      </c>
      <c r="L10" s="3">
        <v>45647</v>
      </c>
      <c r="M10" t="s">
        <v>19</v>
      </c>
      <c r="N10" t="str">
        <f>IF(Table1[[#This Row],[Age]]&lt;25,"&lt; 25",IF(Table1[[#This Row],[Age]]&lt;36,"25-35",IF(Table1[[#This Row],[Age]]&lt;51,"36-50",IF(Table1[[#This Row],[Age]]&lt;66,"51-65",IF(Table1[[#This Row],[Age]]&gt;65,"&gt;65","none")))))</f>
        <v>&gt;65</v>
      </c>
      <c r="O10" t="str">
        <f>IF(AND(Table1[[#This Row],[Smoker]]="Yes",Table1[[#This Row],[Diabetic]]="Yes"),"Yes","No")</f>
        <v>No</v>
      </c>
      <c r="P10" t="str">
        <f>IF(OR(Table1[[#This Row],[Smoker]]="Yes",Table1[[#This Row],[Diabetic]]="Yes"),"Yes","No")</f>
        <v>Yes</v>
      </c>
      <c r="Q10" s="1" t="str">
        <f>IF(OR(Table1[[#This Row],[Systolic]]&gt;125,Table1[[#This Row],[Diastolic]]&gt;90),"High","Normal")</f>
        <v>High</v>
      </c>
      <c r="R10" s="1">
        <f>Table1[[#This Row],[Discharge_Date]]-Table1[[#This Row],[Admission_Date]]</f>
        <v>3</v>
      </c>
      <c r="S10" s="1"/>
    </row>
    <row r="11" spans="1:19" x14ac:dyDescent="0.3">
      <c r="A11" t="s">
        <v>30</v>
      </c>
      <c r="B11">
        <v>64</v>
      </c>
      <c r="C11" t="s">
        <v>18</v>
      </c>
      <c r="D11">
        <v>30.8</v>
      </c>
      <c r="E11">
        <v>110</v>
      </c>
      <c r="F11">
        <v>63</v>
      </c>
      <c r="G11" t="s">
        <v>13</v>
      </c>
      <c r="H11" t="s">
        <v>13</v>
      </c>
      <c r="I11" t="s">
        <v>21</v>
      </c>
      <c r="J11" s="2">
        <v>2126.79</v>
      </c>
      <c r="K11" s="3">
        <v>45570</v>
      </c>
      <c r="L11" s="3">
        <v>45571</v>
      </c>
      <c r="M11" t="s">
        <v>19</v>
      </c>
      <c r="N11" t="str">
        <f>IF(Table1[[#This Row],[Age]]&lt;25,"&lt; 25",IF(Table1[[#This Row],[Age]]&lt;36,"25-35",IF(Table1[[#This Row],[Age]]&lt;51,"36-50",IF(Table1[[#This Row],[Age]]&lt;66,"51-65",IF(Table1[[#This Row],[Age]]&gt;65,"&gt;65","none")))))</f>
        <v>51-65</v>
      </c>
      <c r="O11" t="str">
        <f>IF(AND(Table1[[#This Row],[Smoker]]="Yes",Table1[[#This Row],[Diabetic]]="Yes"),"Yes","No")</f>
        <v>No</v>
      </c>
      <c r="P11" t="str">
        <f>IF(OR(Table1[[#This Row],[Smoker]]="Yes",Table1[[#This Row],[Diabetic]]="Yes"),"Yes","No")</f>
        <v>No</v>
      </c>
      <c r="Q11" s="1" t="str">
        <f>IF(OR(Table1[[#This Row],[Systolic]]&gt;125,Table1[[#This Row],[Diastolic]]&gt;90),"High","Normal")</f>
        <v>Normal</v>
      </c>
      <c r="R11" s="1">
        <f>Table1[[#This Row],[Discharge_Date]]-Table1[[#This Row],[Admission_Date]]</f>
        <v>1</v>
      </c>
      <c r="S11" s="1"/>
    </row>
    <row r="12" spans="1:19" x14ac:dyDescent="0.3">
      <c r="A12" t="s">
        <v>31</v>
      </c>
      <c r="B12">
        <v>87</v>
      </c>
      <c r="C12" t="s">
        <v>18</v>
      </c>
      <c r="D12">
        <v>35.9</v>
      </c>
      <c r="E12">
        <v>108</v>
      </c>
      <c r="F12">
        <v>108</v>
      </c>
      <c r="G12" t="s">
        <v>13</v>
      </c>
      <c r="H12" t="s">
        <v>13</v>
      </c>
      <c r="I12" t="s">
        <v>32</v>
      </c>
      <c r="J12" s="2">
        <v>1179.1300000000001</v>
      </c>
      <c r="K12" s="3">
        <v>45715</v>
      </c>
      <c r="L12" s="3">
        <v>45719</v>
      </c>
      <c r="M12" t="s">
        <v>23</v>
      </c>
      <c r="N12" t="str">
        <f>IF(Table1[[#This Row],[Age]]&lt;25,"&lt; 25",IF(Table1[[#This Row],[Age]]&lt;36,"25-35",IF(Table1[[#This Row],[Age]]&lt;51,"36-50",IF(Table1[[#This Row],[Age]]&lt;66,"51-65",IF(Table1[[#This Row],[Age]]&gt;65,"&gt;65","none")))))</f>
        <v>&gt;65</v>
      </c>
      <c r="O12" t="str">
        <f>IF(AND(Table1[[#This Row],[Smoker]]="Yes",Table1[[#This Row],[Diabetic]]="Yes"),"Yes","No")</f>
        <v>No</v>
      </c>
      <c r="P12" t="str">
        <f>IF(OR(Table1[[#This Row],[Smoker]]="Yes",Table1[[#This Row],[Diabetic]]="Yes"),"Yes","No")</f>
        <v>No</v>
      </c>
      <c r="Q12" s="1" t="str">
        <f>IF(OR(Table1[[#This Row],[Systolic]]&gt;125,Table1[[#This Row],[Diastolic]]&gt;90),"High","Normal")</f>
        <v>High</v>
      </c>
      <c r="R12" s="1">
        <f>Table1[[#This Row],[Discharge_Date]]-Table1[[#This Row],[Admission_Date]]</f>
        <v>4</v>
      </c>
      <c r="S12" s="1"/>
    </row>
    <row r="13" spans="1:19" x14ac:dyDescent="0.3">
      <c r="A13" t="s">
        <v>33</v>
      </c>
      <c r="B13">
        <v>44</v>
      </c>
      <c r="C13" t="s">
        <v>18</v>
      </c>
      <c r="D13">
        <v>26</v>
      </c>
      <c r="E13">
        <v>149</v>
      </c>
      <c r="F13">
        <v>118</v>
      </c>
      <c r="G13" t="s">
        <v>13</v>
      </c>
      <c r="H13" t="s">
        <v>14</v>
      </c>
      <c r="I13" t="s">
        <v>34</v>
      </c>
      <c r="J13" s="2">
        <v>2102.73</v>
      </c>
      <c r="K13" s="3">
        <v>45838</v>
      </c>
      <c r="L13" s="3">
        <v>45839</v>
      </c>
      <c r="M13" t="s">
        <v>19</v>
      </c>
      <c r="N13" t="str">
        <f>IF(Table1[[#This Row],[Age]]&lt;25,"&lt; 25",IF(Table1[[#This Row],[Age]]&lt;36,"25-35",IF(Table1[[#This Row],[Age]]&lt;51,"36-50",IF(Table1[[#This Row],[Age]]&lt;66,"51-65",IF(Table1[[#This Row],[Age]]&gt;65,"&gt;65","none")))))</f>
        <v>36-50</v>
      </c>
      <c r="O13" t="str">
        <f>IF(AND(Table1[[#This Row],[Smoker]]="Yes",Table1[[#This Row],[Diabetic]]="Yes"),"Yes","No")</f>
        <v>No</v>
      </c>
      <c r="P13" t="str">
        <f>IF(OR(Table1[[#This Row],[Smoker]]="Yes",Table1[[#This Row],[Diabetic]]="Yes"),"Yes","No")</f>
        <v>Yes</v>
      </c>
      <c r="Q13" s="1" t="str">
        <f>IF(OR(Table1[[#This Row],[Systolic]]&gt;125,Table1[[#This Row],[Diastolic]]&gt;90),"High","Normal")</f>
        <v>High</v>
      </c>
      <c r="R13" s="1">
        <f>Table1[[#This Row],[Discharge_Date]]-Table1[[#This Row],[Admission_Date]]</f>
        <v>1</v>
      </c>
      <c r="S13" s="1"/>
    </row>
    <row r="14" spans="1:19" x14ac:dyDescent="0.3">
      <c r="A14" t="s">
        <v>35</v>
      </c>
      <c r="B14">
        <v>54</v>
      </c>
      <c r="C14" t="s">
        <v>12</v>
      </c>
      <c r="D14">
        <v>22.9</v>
      </c>
      <c r="E14">
        <v>108</v>
      </c>
      <c r="F14">
        <v>84</v>
      </c>
      <c r="G14" t="s">
        <v>14</v>
      </c>
      <c r="H14" t="s">
        <v>14</v>
      </c>
      <c r="I14" t="s">
        <v>15</v>
      </c>
      <c r="J14" s="2">
        <v>2548.13</v>
      </c>
      <c r="K14" s="3">
        <v>45690</v>
      </c>
      <c r="L14" s="3">
        <v>45699</v>
      </c>
      <c r="M14" t="s">
        <v>19</v>
      </c>
      <c r="N14" t="str">
        <f>IF(Table1[[#This Row],[Age]]&lt;25,"&lt; 25",IF(Table1[[#This Row],[Age]]&lt;36,"25-35",IF(Table1[[#This Row],[Age]]&lt;51,"36-50",IF(Table1[[#This Row],[Age]]&lt;66,"51-65",IF(Table1[[#This Row],[Age]]&gt;65,"&gt;65","none")))))</f>
        <v>51-65</v>
      </c>
      <c r="O14" t="str">
        <f>IF(AND(Table1[[#This Row],[Smoker]]="Yes",Table1[[#This Row],[Diabetic]]="Yes"),"Yes","No")</f>
        <v>Yes</v>
      </c>
      <c r="P14" t="str">
        <f>IF(OR(Table1[[#This Row],[Smoker]]="Yes",Table1[[#This Row],[Diabetic]]="Yes"),"Yes","No")</f>
        <v>Yes</v>
      </c>
      <c r="Q14" s="1" t="str">
        <f>IF(OR(Table1[[#This Row],[Systolic]]&gt;125,Table1[[#This Row],[Diastolic]]&gt;90),"High","Normal")</f>
        <v>Normal</v>
      </c>
      <c r="R14" s="1">
        <f>Table1[[#This Row],[Discharge_Date]]-Table1[[#This Row],[Admission_Date]]</f>
        <v>9</v>
      </c>
      <c r="S14" s="1"/>
    </row>
    <row r="15" spans="1:19" x14ac:dyDescent="0.3">
      <c r="A15" t="s">
        <v>36</v>
      </c>
      <c r="B15">
        <v>66</v>
      </c>
      <c r="C15" t="s">
        <v>12</v>
      </c>
      <c r="D15">
        <v>36.4</v>
      </c>
      <c r="E15">
        <v>149</v>
      </c>
      <c r="F15">
        <v>69</v>
      </c>
      <c r="G15" t="s">
        <v>13</v>
      </c>
      <c r="H15" t="s">
        <v>14</v>
      </c>
      <c r="I15" t="s">
        <v>34</v>
      </c>
      <c r="J15" s="2">
        <v>4680.93</v>
      </c>
      <c r="K15" s="3">
        <v>45925</v>
      </c>
      <c r="L15" s="3">
        <v>45937</v>
      </c>
      <c r="M15" t="s">
        <v>16</v>
      </c>
      <c r="N15" t="str">
        <f>IF(Table1[[#This Row],[Age]]&lt;25,"&lt; 25",IF(Table1[[#This Row],[Age]]&lt;36,"25-35",IF(Table1[[#This Row],[Age]]&lt;51,"36-50",IF(Table1[[#This Row],[Age]]&lt;66,"51-65",IF(Table1[[#This Row],[Age]]&gt;65,"&gt;65","none")))))</f>
        <v>&gt;65</v>
      </c>
      <c r="O15" t="str">
        <f>IF(AND(Table1[[#This Row],[Smoker]]="Yes",Table1[[#This Row],[Diabetic]]="Yes"),"Yes","No")</f>
        <v>No</v>
      </c>
      <c r="P15" t="str">
        <f>IF(OR(Table1[[#This Row],[Smoker]]="Yes",Table1[[#This Row],[Diabetic]]="Yes"),"Yes","No")</f>
        <v>Yes</v>
      </c>
      <c r="Q15" s="1" t="str">
        <f>IF(OR(Table1[[#This Row],[Systolic]]&gt;125,Table1[[#This Row],[Diastolic]]&gt;90),"High","Normal")</f>
        <v>High</v>
      </c>
      <c r="R15" s="1">
        <f>Table1[[#This Row],[Discharge_Date]]-Table1[[#This Row],[Admission_Date]]</f>
        <v>12</v>
      </c>
      <c r="S15" s="1"/>
    </row>
    <row r="16" spans="1:19" x14ac:dyDescent="0.3">
      <c r="A16" t="s">
        <v>37</v>
      </c>
      <c r="B16">
        <v>73</v>
      </c>
      <c r="C16" t="s">
        <v>18</v>
      </c>
      <c r="D16">
        <v>39.700000000000003</v>
      </c>
      <c r="E16">
        <v>133</v>
      </c>
      <c r="F16">
        <v>81</v>
      </c>
      <c r="G16" t="s">
        <v>14</v>
      </c>
      <c r="H16" t="s">
        <v>14</v>
      </c>
      <c r="I16" t="s">
        <v>34</v>
      </c>
      <c r="J16" s="2">
        <v>984.41</v>
      </c>
      <c r="K16" s="3">
        <v>45600</v>
      </c>
      <c r="L16" s="3">
        <v>45611</v>
      </c>
      <c r="M16" t="s">
        <v>16</v>
      </c>
      <c r="N16" t="str">
        <f>IF(Table1[[#This Row],[Age]]&lt;25,"&lt; 25",IF(Table1[[#This Row],[Age]]&lt;36,"25-35",IF(Table1[[#This Row],[Age]]&lt;51,"36-50",IF(Table1[[#This Row],[Age]]&lt;66,"51-65",IF(Table1[[#This Row],[Age]]&gt;65,"&gt;65","none")))))</f>
        <v>&gt;65</v>
      </c>
      <c r="O16" t="str">
        <f>IF(AND(Table1[[#This Row],[Smoker]]="Yes",Table1[[#This Row],[Diabetic]]="Yes"),"Yes","No")</f>
        <v>Yes</v>
      </c>
      <c r="P16" t="str">
        <f>IF(OR(Table1[[#This Row],[Smoker]]="Yes",Table1[[#This Row],[Diabetic]]="Yes"),"Yes","No")</f>
        <v>Yes</v>
      </c>
      <c r="Q16" s="1" t="str">
        <f>IF(OR(Table1[[#This Row],[Systolic]]&gt;125,Table1[[#This Row],[Diastolic]]&gt;90),"High","Normal")</f>
        <v>High</v>
      </c>
      <c r="R16" s="1">
        <f>Table1[[#This Row],[Discharge_Date]]-Table1[[#This Row],[Admission_Date]]</f>
        <v>11</v>
      </c>
      <c r="S16" s="1"/>
    </row>
    <row r="17" spans="1:19" x14ac:dyDescent="0.3">
      <c r="A17" t="s">
        <v>38</v>
      </c>
      <c r="B17">
        <v>22</v>
      </c>
      <c r="C17" t="s">
        <v>12</v>
      </c>
      <c r="D17">
        <v>20.2</v>
      </c>
      <c r="E17">
        <v>165</v>
      </c>
      <c r="F17">
        <v>84</v>
      </c>
      <c r="G17" t="s">
        <v>14</v>
      </c>
      <c r="H17" t="s">
        <v>14</v>
      </c>
      <c r="I17" t="s">
        <v>15</v>
      </c>
      <c r="J17" s="2">
        <v>2882.2</v>
      </c>
      <c r="K17" s="3">
        <v>45779</v>
      </c>
      <c r="L17" s="3">
        <v>45781</v>
      </c>
      <c r="M17" t="s">
        <v>19</v>
      </c>
      <c r="N17" t="str">
        <f>IF(Table1[[#This Row],[Age]]&lt;25,"&lt; 25",IF(Table1[[#This Row],[Age]]&lt;36,"25-35",IF(Table1[[#This Row],[Age]]&lt;51,"36-50",IF(Table1[[#This Row],[Age]]&lt;66,"51-65",IF(Table1[[#This Row],[Age]]&gt;65,"&gt;65","none")))))</f>
        <v>&lt; 25</v>
      </c>
      <c r="O17" t="str">
        <f>IF(AND(Table1[[#This Row],[Smoker]]="Yes",Table1[[#This Row],[Diabetic]]="Yes"),"Yes","No")</f>
        <v>Yes</v>
      </c>
      <c r="P17" t="str">
        <f>IF(OR(Table1[[#This Row],[Smoker]]="Yes",Table1[[#This Row],[Diabetic]]="Yes"),"Yes","No")</f>
        <v>Yes</v>
      </c>
      <c r="Q17" s="1" t="str">
        <f>IF(OR(Table1[[#This Row],[Systolic]]&gt;125,Table1[[#This Row],[Diastolic]]&gt;90),"High","Normal")</f>
        <v>High</v>
      </c>
      <c r="R17" s="1">
        <f>Table1[[#This Row],[Discharge_Date]]-Table1[[#This Row],[Admission_Date]]</f>
        <v>2</v>
      </c>
      <c r="S17" s="1"/>
    </row>
    <row r="18" spans="1:19" x14ac:dyDescent="0.3">
      <c r="A18" t="s">
        <v>39</v>
      </c>
      <c r="B18">
        <v>53</v>
      </c>
      <c r="C18" t="s">
        <v>12</v>
      </c>
      <c r="D18">
        <v>27.5</v>
      </c>
      <c r="E18">
        <v>138</v>
      </c>
      <c r="F18">
        <v>119</v>
      </c>
      <c r="G18" t="s">
        <v>14</v>
      </c>
      <c r="H18" t="s">
        <v>14</v>
      </c>
      <c r="I18" t="s">
        <v>21</v>
      </c>
      <c r="J18" s="2">
        <v>3950.47</v>
      </c>
      <c r="K18" s="3">
        <v>45613</v>
      </c>
      <c r="L18" s="3">
        <v>45614</v>
      </c>
      <c r="M18" t="s">
        <v>23</v>
      </c>
      <c r="N18" t="str">
        <f>IF(Table1[[#This Row],[Age]]&lt;25,"&lt; 25",IF(Table1[[#This Row],[Age]]&lt;36,"25-35",IF(Table1[[#This Row],[Age]]&lt;51,"36-50",IF(Table1[[#This Row],[Age]]&lt;66,"51-65",IF(Table1[[#This Row],[Age]]&gt;65,"&gt;65","none")))))</f>
        <v>51-65</v>
      </c>
      <c r="O18" t="str">
        <f>IF(AND(Table1[[#This Row],[Smoker]]="Yes",Table1[[#This Row],[Diabetic]]="Yes"),"Yes","No")</f>
        <v>Yes</v>
      </c>
      <c r="P18" t="str">
        <f>IF(OR(Table1[[#This Row],[Smoker]]="Yes",Table1[[#This Row],[Diabetic]]="Yes"),"Yes","No")</f>
        <v>Yes</v>
      </c>
      <c r="Q18" s="1" t="str">
        <f>IF(OR(Table1[[#This Row],[Systolic]]&gt;125,Table1[[#This Row],[Diastolic]]&gt;90),"High","Normal")</f>
        <v>High</v>
      </c>
      <c r="R18" s="1">
        <f>Table1[[#This Row],[Discharge_Date]]-Table1[[#This Row],[Admission_Date]]</f>
        <v>1</v>
      </c>
      <c r="S18" s="1"/>
    </row>
    <row r="19" spans="1:19" x14ac:dyDescent="0.3">
      <c r="A19" t="s">
        <v>40</v>
      </c>
      <c r="B19">
        <v>64</v>
      </c>
      <c r="C19" t="s">
        <v>12</v>
      </c>
      <c r="D19">
        <v>39.700000000000003</v>
      </c>
      <c r="E19">
        <v>94</v>
      </c>
      <c r="F19">
        <v>104</v>
      </c>
      <c r="G19" t="s">
        <v>14</v>
      </c>
      <c r="H19" t="s">
        <v>13</v>
      </c>
      <c r="I19" t="s">
        <v>34</v>
      </c>
      <c r="J19" s="2">
        <v>1448.48</v>
      </c>
      <c r="K19" s="3">
        <v>45580</v>
      </c>
      <c r="L19" s="3">
        <v>45592</v>
      </c>
      <c r="M19" t="s">
        <v>19</v>
      </c>
      <c r="N19" t="str">
        <f>IF(Table1[[#This Row],[Age]]&lt;25,"&lt; 25",IF(Table1[[#This Row],[Age]]&lt;36,"25-35",IF(Table1[[#This Row],[Age]]&lt;51,"36-50",IF(Table1[[#This Row],[Age]]&lt;66,"51-65",IF(Table1[[#This Row],[Age]]&gt;65,"&gt;65","none")))))</f>
        <v>51-65</v>
      </c>
      <c r="O19" t="str">
        <f>IF(AND(Table1[[#This Row],[Smoker]]="Yes",Table1[[#This Row],[Diabetic]]="Yes"),"Yes","No")</f>
        <v>No</v>
      </c>
      <c r="P19" t="str">
        <f>IF(OR(Table1[[#This Row],[Smoker]]="Yes",Table1[[#This Row],[Diabetic]]="Yes"),"Yes","No")</f>
        <v>Yes</v>
      </c>
      <c r="Q19" s="1" t="str">
        <f>IF(OR(Table1[[#This Row],[Systolic]]&gt;125,Table1[[#This Row],[Diastolic]]&gt;90),"High","Normal")</f>
        <v>High</v>
      </c>
      <c r="R19" s="1">
        <f>Table1[[#This Row],[Discharge_Date]]-Table1[[#This Row],[Admission_Date]]</f>
        <v>12</v>
      </c>
      <c r="S19" s="1"/>
    </row>
    <row r="20" spans="1:19" x14ac:dyDescent="0.3">
      <c r="A20" t="s">
        <v>41</v>
      </c>
      <c r="B20">
        <v>66</v>
      </c>
      <c r="C20" t="s">
        <v>18</v>
      </c>
      <c r="D20">
        <v>31.4</v>
      </c>
      <c r="E20">
        <v>148</v>
      </c>
      <c r="F20">
        <v>110</v>
      </c>
      <c r="G20" t="s">
        <v>13</v>
      </c>
      <c r="H20" t="s">
        <v>13</v>
      </c>
      <c r="I20" t="s">
        <v>34</v>
      </c>
      <c r="J20" s="2">
        <v>3634.69</v>
      </c>
      <c r="K20" s="3">
        <v>45709</v>
      </c>
      <c r="L20" s="3">
        <v>45717</v>
      </c>
      <c r="M20" t="s">
        <v>16</v>
      </c>
      <c r="N20" t="str">
        <f>IF(Table1[[#This Row],[Age]]&lt;25,"&lt; 25",IF(Table1[[#This Row],[Age]]&lt;36,"25-35",IF(Table1[[#This Row],[Age]]&lt;51,"36-50",IF(Table1[[#This Row],[Age]]&lt;66,"51-65",IF(Table1[[#This Row],[Age]]&gt;65,"&gt;65","none")))))</f>
        <v>&gt;65</v>
      </c>
      <c r="O20" t="str">
        <f>IF(AND(Table1[[#This Row],[Smoker]]="Yes",Table1[[#This Row],[Diabetic]]="Yes"),"Yes","No")</f>
        <v>No</v>
      </c>
      <c r="P20" t="str">
        <f>IF(OR(Table1[[#This Row],[Smoker]]="Yes",Table1[[#This Row],[Diabetic]]="Yes"),"Yes","No")</f>
        <v>No</v>
      </c>
      <c r="Q20" s="1" t="str">
        <f>IF(OR(Table1[[#This Row],[Systolic]]&gt;125,Table1[[#This Row],[Diastolic]]&gt;90),"High","Normal")</f>
        <v>High</v>
      </c>
      <c r="R20" s="1">
        <f>Table1[[#This Row],[Discharge_Date]]-Table1[[#This Row],[Admission_Date]]</f>
        <v>8</v>
      </c>
      <c r="S20" s="1"/>
    </row>
    <row r="21" spans="1:19" x14ac:dyDescent="0.3">
      <c r="A21" t="s">
        <v>42</v>
      </c>
      <c r="B21">
        <v>90</v>
      </c>
      <c r="C21" t="s">
        <v>18</v>
      </c>
      <c r="D21">
        <v>34.6</v>
      </c>
      <c r="E21">
        <v>143</v>
      </c>
      <c r="F21">
        <v>104</v>
      </c>
      <c r="G21" t="s">
        <v>14</v>
      </c>
      <c r="H21" t="s">
        <v>14</v>
      </c>
      <c r="I21" t="s">
        <v>34</v>
      </c>
      <c r="J21" s="2">
        <v>770.81</v>
      </c>
      <c r="K21" s="3">
        <v>45775</v>
      </c>
      <c r="L21" s="3">
        <v>45784</v>
      </c>
      <c r="M21" t="s">
        <v>16</v>
      </c>
      <c r="N21" t="str">
        <f>IF(Table1[[#This Row],[Age]]&lt;25,"&lt; 25",IF(Table1[[#This Row],[Age]]&lt;36,"25-35",IF(Table1[[#This Row],[Age]]&lt;51,"36-50",IF(Table1[[#This Row],[Age]]&lt;66,"51-65",IF(Table1[[#This Row],[Age]]&gt;65,"&gt;65","none")))))</f>
        <v>&gt;65</v>
      </c>
      <c r="O21" t="str">
        <f>IF(AND(Table1[[#This Row],[Smoker]]="Yes",Table1[[#This Row],[Diabetic]]="Yes"),"Yes","No")</f>
        <v>Yes</v>
      </c>
      <c r="P21" t="str">
        <f>IF(OR(Table1[[#This Row],[Smoker]]="Yes",Table1[[#This Row],[Diabetic]]="Yes"),"Yes","No")</f>
        <v>Yes</v>
      </c>
      <c r="Q21" s="1" t="str">
        <f>IF(OR(Table1[[#This Row],[Systolic]]&gt;125,Table1[[#This Row],[Diastolic]]&gt;90),"High","Normal")</f>
        <v>High</v>
      </c>
      <c r="R21" s="1">
        <f>Table1[[#This Row],[Discharge_Date]]-Table1[[#This Row],[Admission_Date]]</f>
        <v>9</v>
      </c>
      <c r="S21" s="1"/>
    </row>
    <row r="22" spans="1:19" x14ac:dyDescent="0.3">
      <c r="A22" t="s">
        <v>43</v>
      </c>
      <c r="B22">
        <v>50</v>
      </c>
      <c r="C22" t="s">
        <v>18</v>
      </c>
      <c r="D22">
        <v>31.9</v>
      </c>
      <c r="E22">
        <v>157</v>
      </c>
      <c r="F22">
        <v>92</v>
      </c>
      <c r="G22" t="s">
        <v>14</v>
      </c>
      <c r="H22" t="s">
        <v>14</v>
      </c>
      <c r="I22" t="s">
        <v>15</v>
      </c>
      <c r="J22" s="2">
        <v>3993.56</v>
      </c>
      <c r="K22" s="3">
        <v>45930</v>
      </c>
      <c r="L22" s="3">
        <v>45939</v>
      </c>
      <c r="M22" t="s">
        <v>16</v>
      </c>
      <c r="N22" t="str">
        <f>IF(Table1[[#This Row],[Age]]&lt;25,"&lt; 25",IF(Table1[[#This Row],[Age]]&lt;36,"25-35",IF(Table1[[#This Row],[Age]]&lt;51,"36-50",IF(Table1[[#This Row],[Age]]&lt;66,"51-65",IF(Table1[[#This Row],[Age]]&gt;65,"&gt;65","none")))))</f>
        <v>36-50</v>
      </c>
      <c r="O22" t="str">
        <f>IF(AND(Table1[[#This Row],[Smoker]]="Yes",Table1[[#This Row],[Diabetic]]="Yes"),"Yes","No")</f>
        <v>Yes</v>
      </c>
      <c r="P22" t="str">
        <f>IF(OR(Table1[[#This Row],[Smoker]]="Yes",Table1[[#This Row],[Diabetic]]="Yes"),"Yes","No")</f>
        <v>Yes</v>
      </c>
      <c r="Q22" s="1" t="str">
        <f>IF(OR(Table1[[#This Row],[Systolic]]&gt;125,Table1[[#This Row],[Diastolic]]&gt;90),"High","Normal")</f>
        <v>High</v>
      </c>
      <c r="R22" s="1">
        <f>Table1[[#This Row],[Discharge_Date]]-Table1[[#This Row],[Admission_Date]]</f>
        <v>9</v>
      </c>
      <c r="S22" s="1"/>
    </row>
    <row r="23" spans="1:19" x14ac:dyDescent="0.3">
      <c r="A23" t="s">
        <v>44</v>
      </c>
      <c r="B23">
        <v>62</v>
      </c>
      <c r="C23" t="s">
        <v>12</v>
      </c>
      <c r="D23">
        <v>39.200000000000003</v>
      </c>
      <c r="E23">
        <v>96</v>
      </c>
      <c r="F23">
        <v>78</v>
      </c>
      <c r="G23" t="s">
        <v>14</v>
      </c>
      <c r="H23" t="s">
        <v>13</v>
      </c>
      <c r="I23" t="s">
        <v>21</v>
      </c>
      <c r="J23" s="2">
        <v>4649.88</v>
      </c>
      <c r="K23" s="3">
        <v>45596</v>
      </c>
      <c r="L23" s="3">
        <v>45601</v>
      </c>
      <c r="M23" t="s">
        <v>19</v>
      </c>
      <c r="N23" t="str">
        <f>IF(Table1[[#This Row],[Age]]&lt;25,"&lt; 25",IF(Table1[[#This Row],[Age]]&lt;36,"25-35",IF(Table1[[#This Row],[Age]]&lt;51,"36-50",IF(Table1[[#This Row],[Age]]&lt;66,"51-65",IF(Table1[[#This Row],[Age]]&gt;65,"&gt;65","none")))))</f>
        <v>51-65</v>
      </c>
      <c r="O23" t="str">
        <f>IF(AND(Table1[[#This Row],[Smoker]]="Yes",Table1[[#This Row],[Diabetic]]="Yes"),"Yes","No")</f>
        <v>No</v>
      </c>
      <c r="P23" t="str">
        <f>IF(OR(Table1[[#This Row],[Smoker]]="Yes",Table1[[#This Row],[Diabetic]]="Yes"),"Yes","No")</f>
        <v>Yes</v>
      </c>
      <c r="Q23" s="1" t="str">
        <f>IF(OR(Table1[[#This Row],[Systolic]]&gt;125,Table1[[#This Row],[Diastolic]]&gt;90),"High","Normal")</f>
        <v>Normal</v>
      </c>
      <c r="R23" s="1">
        <f>Table1[[#This Row],[Discharge_Date]]-Table1[[#This Row],[Admission_Date]]</f>
        <v>5</v>
      </c>
      <c r="S23" s="1"/>
    </row>
    <row r="24" spans="1:19" x14ac:dyDescent="0.3">
      <c r="A24" t="s">
        <v>45</v>
      </c>
      <c r="B24">
        <v>25</v>
      </c>
      <c r="C24" t="s">
        <v>18</v>
      </c>
      <c r="D24">
        <v>31.6</v>
      </c>
      <c r="E24">
        <v>136</v>
      </c>
      <c r="F24">
        <v>62</v>
      </c>
      <c r="G24" t="s">
        <v>14</v>
      </c>
      <c r="H24" t="s">
        <v>14</v>
      </c>
      <c r="I24" t="s">
        <v>32</v>
      </c>
      <c r="J24" s="2">
        <v>3965.18</v>
      </c>
      <c r="K24" s="3">
        <v>45885</v>
      </c>
      <c r="L24" s="3">
        <v>45892</v>
      </c>
      <c r="M24" t="s">
        <v>23</v>
      </c>
      <c r="N24" t="str">
        <f>IF(Table1[[#This Row],[Age]]&lt;25,"&lt; 25",IF(Table1[[#This Row],[Age]]&lt;36,"25-35",IF(Table1[[#This Row],[Age]]&lt;51,"36-50",IF(Table1[[#This Row],[Age]]&lt;66,"51-65",IF(Table1[[#This Row],[Age]]&gt;65,"&gt;65","none")))))</f>
        <v>25-35</v>
      </c>
      <c r="O24" t="str">
        <f>IF(AND(Table1[[#This Row],[Smoker]]="Yes",Table1[[#This Row],[Diabetic]]="Yes"),"Yes","No")</f>
        <v>Yes</v>
      </c>
      <c r="P24" t="str">
        <f>IF(OR(Table1[[#This Row],[Smoker]]="Yes",Table1[[#This Row],[Diabetic]]="Yes"),"Yes","No")</f>
        <v>Yes</v>
      </c>
      <c r="Q24" s="1" t="str">
        <f>IF(OR(Table1[[#This Row],[Systolic]]&gt;125,Table1[[#This Row],[Diastolic]]&gt;90),"High","Normal")</f>
        <v>High</v>
      </c>
      <c r="R24" s="1">
        <f>Table1[[#This Row],[Discharge_Date]]-Table1[[#This Row],[Admission_Date]]</f>
        <v>7</v>
      </c>
      <c r="S24" s="1"/>
    </row>
    <row r="25" spans="1:19" x14ac:dyDescent="0.3">
      <c r="A25" t="s">
        <v>46</v>
      </c>
      <c r="B25">
        <v>79</v>
      </c>
      <c r="C25" t="s">
        <v>18</v>
      </c>
      <c r="D25">
        <v>31.3</v>
      </c>
      <c r="E25">
        <v>143</v>
      </c>
      <c r="F25">
        <v>91</v>
      </c>
      <c r="G25" t="s">
        <v>13</v>
      </c>
      <c r="H25" t="s">
        <v>13</v>
      </c>
      <c r="I25" t="s">
        <v>34</v>
      </c>
      <c r="J25" s="2">
        <v>3440.19</v>
      </c>
      <c r="K25" s="3">
        <v>45899</v>
      </c>
      <c r="L25" s="3">
        <v>45902</v>
      </c>
      <c r="M25" t="s">
        <v>16</v>
      </c>
      <c r="N25" t="str">
        <f>IF(Table1[[#This Row],[Age]]&lt;25,"&lt; 25",IF(Table1[[#This Row],[Age]]&lt;36,"25-35",IF(Table1[[#This Row],[Age]]&lt;51,"36-50",IF(Table1[[#This Row],[Age]]&lt;66,"51-65",IF(Table1[[#This Row],[Age]]&gt;65,"&gt;65","none")))))</f>
        <v>&gt;65</v>
      </c>
      <c r="O25" t="str">
        <f>IF(AND(Table1[[#This Row],[Smoker]]="Yes",Table1[[#This Row],[Diabetic]]="Yes"),"Yes","No")</f>
        <v>No</v>
      </c>
      <c r="P25" t="str">
        <f>IF(OR(Table1[[#This Row],[Smoker]]="Yes",Table1[[#This Row],[Diabetic]]="Yes"),"Yes","No")</f>
        <v>No</v>
      </c>
      <c r="Q25" s="1" t="str">
        <f>IF(OR(Table1[[#This Row],[Systolic]]&gt;125,Table1[[#This Row],[Diastolic]]&gt;90),"High","Normal")</f>
        <v>High</v>
      </c>
      <c r="R25" s="1">
        <f>Table1[[#This Row],[Discharge_Date]]-Table1[[#This Row],[Admission_Date]]</f>
        <v>3</v>
      </c>
      <c r="S25" s="1"/>
    </row>
    <row r="26" spans="1:19" x14ac:dyDescent="0.3">
      <c r="A26" t="s">
        <v>47</v>
      </c>
      <c r="B26">
        <v>77</v>
      </c>
      <c r="C26" t="s">
        <v>18</v>
      </c>
      <c r="D26">
        <v>37.700000000000003</v>
      </c>
      <c r="E26">
        <v>117</v>
      </c>
      <c r="F26">
        <v>117</v>
      </c>
      <c r="G26" t="s">
        <v>14</v>
      </c>
      <c r="H26" t="s">
        <v>13</v>
      </c>
      <c r="I26" t="s">
        <v>25</v>
      </c>
      <c r="J26" s="2">
        <v>2472.0100000000002</v>
      </c>
      <c r="K26" s="3">
        <v>45672</v>
      </c>
      <c r="L26" s="3">
        <v>45674</v>
      </c>
      <c r="M26" t="s">
        <v>19</v>
      </c>
      <c r="N26" t="str">
        <f>IF(Table1[[#This Row],[Age]]&lt;25,"&lt; 25",IF(Table1[[#This Row],[Age]]&lt;36,"25-35",IF(Table1[[#This Row],[Age]]&lt;51,"36-50",IF(Table1[[#This Row],[Age]]&lt;66,"51-65",IF(Table1[[#This Row],[Age]]&gt;65,"&gt;65","none")))))</f>
        <v>&gt;65</v>
      </c>
      <c r="O26" t="str">
        <f>IF(AND(Table1[[#This Row],[Smoker]]="Yes",Table1[[#This Row],[Diabetic]]="Yes"),"Yes","No")</f>
        <v>No</v>
      </c>
      <c r="P26" t="str">
        <f>IF(OR(Table1[[#This Row],[Smoker]]="Yes",Table1[[#This Row],[Diabetic]]="Yes"),"Yes","No")</f>
        <v>Yes</v>
      </c>
      <c r="Q26" s="1" t="str">
        <f>IF(OR(Table1[[#This Row],[Systolic]]&gt;125,Table1[[#This Row],[Diastolic]]&gt;90),"High","Normal")</f>
        <v>High</v>
      </c>
      <c r="R26" s="1">
        <f>Table1[[#This Row],[Discharge_Date]]-Table1[[#This Row],[Admission_Date]]</f>
        <v>2</v>
      </c>
      <c r="S26" s="1"/>
    </row>
    <row r="27" spans="1:19" x14ac:dyDescent="0.3">
      <c r="A27" t="s">
        <v>48</v>
      </c>
      <c r="B27">
        <v>62</v>
      </c>
      <c r="C27" t="s">
        <v>18</v>
      </c>
      <c r="D27">
        <v>21.6</v>
      </c>
      <c r="E27">
        <v>158</v>
      </c>
      <c r="F27">
        <v>66</v>
      </c>
      <c r="G27" t="s">
        <v>14</v>
      </c>
      <c r="H27" t="s">
        <v>14</v>
      </c>
      <c r="I27" t="s">
        <v>25</v>
      </c>
      <c r="J27" s="2">
        <v>3966.83</v>
      </c>
      <c r="K27" s="3">
        <v>45779</v>
      </c>
      <c r="L27" s="3">
        <v>45787</v>
      </c>
      <c r="M27" t="s">
        <v>16</v>
      </c>
      <c r="N27" t="str">
        <f>IF(Table1[[#This Row],[Age]]&lt;25,"&lt; 25",IF(Table1[[#This Row],[Age]]&lt;36,"25-35",IF(Table1[[#This Row],[Age]]&lt;51,"36-50",IF(Table1[[#This Row],[Age]]&lt;66,"51-65",IF(Table1[[#This Row],[Age]]&gt;65,"&gt;65","none")))))</f>
        <v>51-65</v>
      </c>
      <c r="O27" t="str">
        <f>IF(AND(Table1[[#This Row],[Smoker]]="Yes",Table1[[#This Row],[Diabetic]]="Yes"),"Yes","No")</f>
        <v>Yes</v>
      </c>
      <c r="P27" t="str">
        <f>IF(OR(Table1[[#This Row],[Smoker]]="Yes",Table1[[#This Row],[Diabetic]]="Yes"),"Yes","No")</f>
        <v>Yes</v>
      </c>
      <c r="Q27" s="1" t="str">
        <f>IF(OR(Table1[[#This Row],[Systolic]]&gt;125,Table1[[#This Row],[Diastolic]]&gt;90),"High","Normal")</f>
        <v>High</v>
      </c>
      <c r="R27" s="1">
        <f>Table1[[#This Row],[Discharge_Date]]-Table1[[#This Row],[Admission_Date]]</f>
        <v>8</v>
      </c>
      <c r="S27" s="1"/>
    </row>
    <row r="28" spans="1:19" x14ac:dyDescent="0.3">
      <c r="A28" t="s">
        <v>49</v>
      </c>
      <c r="B28">
        <v>87</v>
      </c>
      <c r="C28" t="s">
        <v>18</v>
      </c>
      <c r="D28">
        <v>38.1</v>
      </c>
      <c r="E28">
        <v>94</v>
      </c>
      <c r="F28">
        <v>66</v>
      </c>
      <c r="G28" t="s">
        <v>14</v>
      </c>
      <c r="H28" t="s">
        <v>14</v>
      </c>
      <c r="I28" t="s">
        <v>34</v>
      </c>
      <c r="J28" s="2">
        <v>2821.51</v>
      </c>
      <c r="K28" s="3">
        <v>45638</v>
      </c>
      <c r="L28" s="3">
        <v>45644</v>
      </c>
      <c r="M28" t="s">
        <v>23</v>
      </c>
      <c r="N28" t="str">
        <f>IF(Table1[[#This Row],[Age]]&lt;25,"&lt; 25",IF(Table1[[#This Row],[Age]]&lt;36,"25-35",IF(Table1[[#This Row],[Age]]&lt;51,"36-50",IF(Table1[[#This Row],[Age]]&lt;66,"51-65",IF(Table1[[#This Row],[Age]]&gt;65,"&gt;65","none")))))</f>
        <v>&gt;65</v>
      </c>
      <c r="O28" t="str">
        <f>IF(AND(Table1[[#This Row],[Smoker]]="Yes",Table1[[#This Row],[Diabetic]]="Yes"),"Yes","No")</f>
        <v>Yes</v>
      </c>
      <c r="P28" t="str">
        <f>IF(OR(Table1[[#This Row],[Smoker]]="Yes",Table1[[#This Row],[Diabetic]]="Yes"),"Yes","No")</f>
        <v>Yes</v>
      </c>
      <c r="Q28" s="1" t="str">
        <f>IF(OR(Table1[[#This Row],[Systolic]]&gt;125,Table1[[#This Row],[Diastolic]]&gt;90),"High","Normal")</f>
        <v>Normal</v>
      </c>
      <c r="R28" s="1">
        <f>Table1[[#This Row],[Discharge_Date]]-Table1[[#This Row],[Admission_Date]]</f>
        <v>6</v>
      </c>
      <c r="S28" s="1"/>
    </row>
    <row r="29" spans="1:19" x14ac:dyDescent="0.3">
      <c r="A29" t="s">
        <v>50</v>
      </c>
      <c r="B29">
        <v>74</v>
      </c>
      <c r="C29" t="s">
        <v>12</v>
      </c>
      <c r="D29">
        <v>34.5</v>
      </c>
      <c r="E29">
        <v>122</v>
      </c>
      <c r="F29">
        <v>69</v>
      </c>
      <c r="G29" t="s">
        <v>13</v>
      </c>
      <c r="H29" t="s">
        <v>14</v>
      </c>
      <c r="I29" t="s">
        <v>21</v>
      </c>
      <c r="J29" s="2">
        <v>2015.89</v>
      </c>
      <c r="K29" s="3">
        <v>45745</v>
      </c>
      <c r="L29" s="3">
        <v>45749</v>
      </c>
      <c r="M29" t="s">
        <v>16</v>
      </c>
      <c r="N29" t="str">
        <f>IF(Table1[[#This Row],[Age]]&lt;25,"&lt; 25",IF(Table1[[#This Row],[Age]]&lt;36,"25-35",IF(Table1[[#This Row],[Age]]&lt;51,"36-50",IF(Table1[[#This Row],[Age]]&lt;66,"51-65",IF(Table1[[#This Row],[Age]]&gt;65,"&gt;65","none")))))</f>
        <v>&gt;65</v>
      </c>
      <c r="O29" t="str">
        <f>IF(AND(Table1[[#This Row],[Smoker]]="Yes",Table1[[#This Row],[Diabetic]]="Yes"),"Yes","No")</f>
        <v>No</v>
      </c>
      <c r="P29" t="str">
        <f>IF(OR(Table1[[#This Row],[Smoker]]="Yes",Table1[[#This Row],[Diabetic]]="Yes"),"Yes","No")</f>
        <v>Yes</v>
      </c>
      <c r="Q29" s="1" t="str">
        <f>IF(OR(Table1[[#This Row],[Systolic]]&gt;125,Table1[[#This Row],[Diastolic]]&gt;90),"High","Normal")</f>
        <v>Normal</v>
      </c>
      <c r="R29" s="1">
        <f>Table1[[#This Row],[Discharge_Date]]-Table1[[#This Row],[Admission_Date]]</f>
        <v>4</v>
      </c>
      <c r="S29" s="1"/>
    </row>
    <row r="30" spans="1:19" x14ac:dyDescent="0.3">
      <c r="A30" t="s">
        <v>51</v>
      </c>
      <c r="B30">
        <v>52</v>
      </c>
      <c r="C30" t="s">
        <v>18</v>
      </c>
      <c r="D30">
        <v>24.8</v>
      </c>
      <c r="E30">
        <v>134</v>
      </c>
      <c r="F30">
        <v>78</v>
      </c>
      <c r="G30" t="s">
        <v>14</v>
      </c>
      <c r="H30" t="s">
        <v>14</v>
      </c>
      <c r="I30" t="s">
        <v>15</v>
      </c>
      <c r="J30" s="2">
        <v>3353.69</v>
      </c>
      <c r="K30" s="3">
        <v>45678</v>
      </c>
      <c r="L30" s="3">
        <v>45682</v>
      </c>
      <c r="M30" t="s">
        <v>16</v>
      </c>
      <c r="N30" t="str">
        <f>IF(Table1[[#This Row],[Age]]&lt;25,"&lt; 25",IF(Table1[[#This Row],[Age]]&lt;36,"25-35",IF(Table1[[#This Row],[Age]]&lt;51,"36-50",IF(Table1[[#This Row],[Age]]&lt;66,"51-65",IF(Table1[[#This Row],[Age]]&gt;65,"&gt;65","none")))))</f>
        <v>51-65</v>
      </c>
      <c r="O30" t="str">
        <f>IF(AND(Table1[[#This Row],[Smoker]]="Yes",Table1[[#This Row],[Diabetic]]="Yes"),"Yes","No")</f>
        <v>Yes</v>
      </c>
      <c r="P30" t="str">
        <f>IF(OR(Table1[[#This Row],[Smoker]]="Yes",Table1[[#This Row],[Diabetic]]="Yes"),"Yes","No")</f>
        <v>Yes</v>
      </c>
      <c r="Q30" s="1" t="str">
        <f>IF(OR(Table1[[#This Row],[Systolic]]&gt;125,Table1[[#This Row],[Diastolic]]&gt;90),"High","Normal")</f>
        <v>High</v>
      </c>
      <c r="R30" s="1">
        <f>Table1[[#This Row],[Discharge_Date]]-Table1[[#This Row],[Admission_Date]]</f>
        <v>4</v>
      </c>
      <c r="S30" s="1"/>
    </row>
    <row r="31" spans="1:19" x14ac:dyDescent="0.3">
      <c r="A31" t="s">
        <v>52</v>
      </c>
      <c r="B31">
        <v>81</v>
      </c>
      <c r="C31" t="s">
        <v>18</v>
      </c>
      <c r="D31">
        <v>25.1</v>
      </c>
      <c r="E31">
        <v>135</v>
      </c>
      <c r="F31">
        <v>87</v>
      </c>
      <c r="G31" t="s">
        <v>13</v>
      </c>
      <c r="H31" t="s">
        <v>14</v>
      </c>
      <c r="I31" t="s">
        <v>15</v>
      </c>
      <c r="J31" s="2">
        <v>1705.56</v>
      </c>
      <c r="K31" s="3">
        <v>45663</v>
      </c>
      <c r="L31" s="3">
        <v>45665</v>
      </c>
      <c r="M31" t="s">
        <v>19</v>
      </c>
      <c r="N31" t="str">
        <f>IF(Table1[[#This Row],[Age]]&lt;25,"&lt; 25",IF(Table1[[#This Row],[Age]]&lt;36,"25-35",IF(Table1[[#This Row],[Age]]&lt;51,"36-50",IF(Table1[[#This Row],[Age]]&lt;66,"51-65",IF(Table1[[#This Row],[Age]]&gt;65,"&gt;65","none")))))</f>
        <v>&gt;65</v>
      </c>
      <c r="O31" t="str">
        <f>IF(AND(Table1[[#This Row],[Smoker]]="Yes",Table1[[#This Row],[Diabetic]]="Yes"),"Yes","No")</f>
        <v>No</v>
      </c>
      <c r="P31" t="str">
        <f>IF(OR(Table1[[#This Row],[Smoker]]="Yes",Table1[[#This Row],[Diabetic]]="Yes"),"Yes","No")</f>
        <v>Yes</v>
      </c>
      <c r="Q31" s="1" t="str">
        <f>IF(OR(Table1[[#This Row],[Systolic]]&gt;125,Table1[[#This Row],[Diastolic]]&gt;90),"High","Normal")</f>
        <v>High</v>
      </c>
      <c r="R31" s="1">
        <f>Table1[[#This Row],[Discharge_Date]]-Table1[[#This Row],[Admission_Date]]</f>
        <v>2</v>
      </c>
      <c r="S31" s="1"/>
    </row>
    <row r="32" spans="1:19" x14ac:dyDescent="0.3">
      <c r="A32" t="s">
        <v>53</v>
      </c>
      <c r="B32">
        <v>34</v>
      </c>
      <c r="C32" t="s">
        <v>12</v>
      </c>
      <c r="D32">
        <v>18.7</v>
      </c>
      <c r="E32">
        <v>139</v>
      </c>
      <c r="F32">
        <v>68</v>
      </c>
      <c r="G32" t="s">
        <v>14</v>
      </c>
      <c r="H32" t="s">
        <v>14</v>
      </c>
      <c r="I32" t="s">
        <v>34</v>
      </c>
      <c r="J32" s="2">
        <v>176.9</v>
      </c>
      <c r="K32" s="3">
        <v>45796</v>
      </c>
      <c r="L32" s="3">
        <v>45800</v>
      </c>
      <c r="M32" t="s">
        <v>19</v>
      </c>
      <c r="N32" t="str">
        <f>IF(Table1[[#This Row],[Age]]&lt;25,"&lt; 25",IF(Table1[[#This Row],[Age]]&lt;36,"25-35",IF(Table1[[#This Row],[Age]]&lt;51,"36-50",IF(Table1[[#This Row],[Age]]&lt;66,"51-65",IF(Table1[[#This Row],[Age]]&gt;65,"&gt;65","none")))))</f>
        <v>25-35</v>
      </c>
      <c r="O32" t="str">
        <f>IF(AND(Table1[[#This Row],[Smoker]]="Yes",Table1[[#This Row],[Diabetic]]="Yes"),"Yes","No")</f>
        <v>Yes</v>
      </c>
      <c r="P32" t="str">
        <f>IF(OR(Table1[[#This Row],[Smoker]]="Yes",Table1[[#This Row],[Diabetic]]="Yes"),"Yes","No")</f>
        <v>Yes</v>
      </c>
      <c r="Q32" s="1" t="str">
        <f>IF(OR(Table1[[#This Row],[Systolic]]&gt;125,Table1[[#This Row],[Diastolic]]&gt;90),"High","Normal")</f>
        <v>High</v>
      </c>
      <c r="R32" s="1">
        <f>Table1[[#This Row],[Discharge_Date]]-Table1[[#This Row],[Admission_Date]]</f>
        <v>4</v>
      </c>
      <c r="S32" s="1"/>
    </row>
    <row r="33" spans="1:19" x14ac:dyDescent="0.3">
      <c r="A33" t="s">
        <v>54</v>
      </c>
      <c r="B33">
        <v>28</v>
      </c>
      <c r="C33" t="s">
        <v>12</v>
      </c>
      <c r="D33">
        <v>39.4</v>
      </c>
      <c r="E33">
        <v>160</v>
      </c>
      <c r="F33">
        <v>80</v>
      </c>
      <c r="G33" t="s">
        <v>13</v>
      </c>
      <c r="H33" t="s">
        <v>13</v>
      </c>
      <c r="I33" t="s">
        <v>34</v>
      </c>
      <c r="J33" s="2">
        <v>463.77</v>
      </c>
      <c r="K33" s="3">
        <v>45924</v>
      </c>
      <c r="L33" s="3">
        <v>45926</v>
      </c>
      <c r="M33" t="s">
        <v>23</v>
      </c>
      <c r="N33" t="str">
        <f>IF(Table1[[#This Row],[Age]]&lt;25,"&lt; 25",IF(Table1[[#This Row],[Age]]&lt;36,"25-35",IF(Table1[[#This Row],[Age]]&lt;51,"36-50",IF(Table1[[#This Row],[Age]]&lt;66,"51-65",IF(Table1[[#This Row],[Age]]&gt;65,"&gt;65","none")))))</f>
        <v>25-35</v>
      </c>
      <c r="O33" t="str">
        <f>IF(AND(Table1[[#This Row],[Smoker]]="Yes",Table1[[#This Row],[Diabetic]]="Yes"),"Yes","No")</f>
        <v>No</v>
      </c>
      <c r="P33" t="str">
        <f>IF(OR(Table1[[#This Row],[Smoker]]="Yes",Table1[[#This Row],[Diabetic]]="Yes"),"Yes","No")</f>
        <v>No</v>
      </c>
      <c r="Q33" s="1" t="str">
        <f>IF(OR(Table1[[#This Row],[Systolic]]&gt;125,Table1[[#This Row],[Diastolic]]&gt;90),"High","Normal")</f>
        <v>High</v>
      </c>
      <c r="R33" s="1">
        <f>Table1[[#This Row],[Discharge_Date]]-Table1[[#This Row],[Admission_Date]]</f>
        <v>2</v>
      </c>
      <c r="S33" s="1"/>
    </row>
    <row r="34" spans="1:19" x14ac:dyDescent="0.3">
      <c r="A34" t="s">
        <v>55</v>
      </c>
      <c r="B34">
        <v>30</v>
      </c>
      <c r="C34" t="s">
        <v>18</v>
      </c>
      <c r="D34">
        <v>26.5</v>
      </c>
      <c r="E34">
        <v>143</v>
      </c>
      <c r="F34">
        <v>69</v>
      </c>
      <c r="G34" t="s">
        <v>14</v>
      </c>
      <c r="H34" t="s">
        <v>14</v>
      </c>
      <c r="I34" t="s">
        <v>32</v>
      </c>
      <c r="J34" s="2">
        <v>1411.7</v>
      </c>
      <c r="K34" s="3">
        <v>45818</v>
      </c>
      <c r="L34" s="3">
        <v>45823</v>
      </c>
      <c r="M34" t="s">
        <v>23</v>
      </c>
      <c r="N34" t="str">
        <f>IF(Table1[[#This Row],[Age]]&lt;25,"&lt; 25",IF(Table1[[#This Row],[Age]]&lt;36,"25-35",IF(Table1[[#This Row],[Age]]&lt;51,"36-50",IF(Table1[[#This Row],[Age]]&lt;66,"51-65",IF(Table1[[#This Row],[Age]]&gt;65,"&gt;65","none")))))</f>
        <v>25-35</v>
      </c>
      <c r="O34" t="str">
        <f>IF(AND(Table1[[#This Row],[Smoker]]="Yes",Table1[[#This Row],[Diabetic]]="Yes"),"Yes","No")</f>
        <v>Yes</v>
      </c>
      <c r="P34" t="str">
        <f>IF(OR(Table1[[#This Row],[Smoker]]="Yes",Table1[[#This Row],[Diabetic]]="Yes"),"Yes","No")</f>
        <v>Yes</v>
      </c>
      <c r="Q34" s="1" t="str">
        <f>IF(OR(Table1[[#This Row],[Systolic]]&gt;125,Table1[[#This Row],[Diastolic]]&gt;90),"High","Normal")</f>
        <v>High</v>
      </c>
      <c r="R34" s="1">
        <f>Table1[[#This Row],[Discharge_Date]]-Table1[[#This Row],[Admission_Date]]</f>
        <v>5</v>
      </c>
      <c r="S34" s="1"/>
    </row>
    <row r="35" spans="1:19" x14ac:dyDescent="0.3">
      <c r="A35" t="s">
        <v>56</v>
      </c>
      <c r="B35">
        <v>86</v>
      </c>
      <c r="C35" t="s">
        <v>18</v>
      </c>
      <c r="D35">
        <v>33.700000000000003</v>
      </c>
      <c r="E35">
        <v>107</v>
      </c>
      <c r="F35">
        <v>110</v>
      </c>
      <c r="G35" t="s">
        <v>14</v>
      </c>
      <c r="H35" t="s">
        <v>14</v>
      </c>
      <c r="I35" t="s">
        <v>15</v>
      </c>
      <c r="J35" s="2">
        <v>1758.02</v>
      </c>
      <c r="K35" s="3">
        <v>45922</v>
      </c>
      <c r="L35" s="3">
        <v>45935</v>
      </c>
      <c r="M35" t="s">
        <v>19</v>
      </c>
      <c r="N35" t="str">
        <f>IF(Table1[[#This Row],[Age]]&lt;25,"&lt; 25",IF(Table1[[#This Row],[Age]]&lt;36,"25-35",IF(Table1[[#This Row],[Age]]&lt;51,"36-50",IF(Table1[[#This Row],[Age]]&lt;66,"51-65",IF(Table1[[#This Row],[Age]]&gt;65,"&gt;65","none")))))</f>
        <v>&gt;65</v>
      </c>
      <c r="O35" t="str">
        <f>IF(AND(Table1[[#This Row],[Smoker]]="Yes",Table1[[#This Row],[Diabetic]]="Yes"),"Yes","No")</f>
        <v>Yes</v>
      </c>
      <c r="P35" t="str">
        <f>IF(OR(Table1[[#This Row],[Smoker]]="Yes",Table1[[#This Row],[Diabetic]]="Yes"),"Yes","No")</f>
        <v>Yes</v>
      </c>
      <c r="Q35" s="1" t="str">
        <f>IF(OR(Table1[[#This Row],[Systolic]]&gt;125,Table1[[#This Row],[Diastolic]]&gt;90),"High","Normal")</f>
        <v>High</v>
      </c>
      <c r="R35" s="1">
        <f>Table1[[#This Row],[Discharge_Date]]-Table1[[#This Row],[Admission_Date]]</f>
        <v>13</v>
      </c>
      <c r="S35" s="1"/>
    </row>
    <row r="36" spans="1:19" x14ac:dyDescent="0.3">
      <c r="A36" t="s">
        <v>57</v>
      </c>
      <c r="B36">
        <v>21</v>
      </c>
      <c r="C36" t="s">
        <v>12</v>
      </c>
      <c r="D36">
        <v>32.5</v>
      </c>
      <c r="E36">
        <v>107</v>
      </c>
      <c r="F36">
        <v>98</v>
      </c>
      <c r="G36" t="s">
        <v>14</v>
      </c>
      <c r="H36" t="s">
        <v>13</v>
      </c>
      <c r="I36" t="s">
        <v>15</v>
      </c>
      <c r="J36" s="2">
        <v>1431.16</v>
      </c>
      <c r="K36" s="3">
        <v>45896</v>
      </c>
      <c r="L36" s="3">
        <v>45900</v>
      </c>
      <c r="M36" t="s">
        <v>19</v>
      </c>
      <c r="N36" t="str">
        <f>IF(Table1[[#This Row],[Age]]&lt;25,"&lt; 25",IF(Table1[[#This Row],[Age]]&lt;36,"25-35",IF(Table1[[#This Row],[Age]]&lt;51,"36-50",IF(Table1[[#This Row],[Age]]&lt;66,"51-65",IF(Table1[[#This Row],[Age]]&gt;65,"&gt;65","none")))))</f>
        <v>&lt; 25</v>
      </c>
      <c r="O36" t="str">
        <f>IF(AND(Table1[[#This Row],[Smoker]]="Yes",Table1[[#This Row],[Diabetic]]="Yes"),"Yes","No")</f>
        <v>No</v>
      </c>
      <c r="P36" t="str">
        <f>IF(OR(Table1[[#This Row],[Smoker]]="Yes",Table1[[#This Row],[Diabetic]]="Yes"),"Yes","No")</f>
        <v>Yes</v>
      </c>
      <c r="Q36" s="1" t="str">
        <f>IF(OR(Table1[[#This Row],[Systolic]]&gt;125,Table1[[#This Row],[Diastolic]]&gt;90),"High","Normal")</f>
        <v>High</v>
      </c>
      <c r="R36" s="1">
        <f>Table1[[#This Row],[Discharge_Date]]-Table1[[#This Row],[Admission_Date]]</f>
        <v>4</v>
      </c>
      <c r="S36" s="1"/>
    </row>
    <row r="37" spans="1:19" x14ac:dyDescent="0.3">
      <c r="A37" t="s">
        <v>58</v>
      </c>
      <c r="B37">
        <v>34</v>
      </c>
      <c r="C37" t="s">
        <v>18</v>
      </c>
      <c r="D37">
        <v>38.6</v>
      </c>
      <c r="E37">
        <v>138</v>
      </c>
      <c r="F37">
        <v>114</v>
      </c>
      <c r="G37" t="s">
        <v>14</v>
      </c>
      <c r="H37" t="s">
        <v>14</v>
      </c>
      <c r="I37" t="s">
        <v>25</v>
      </c>
      <c r="J37" s="2">
        <v>4728.91</v>
      </c>
      <c r="K37" s="3">
        <v>45725</v>
      </c>
      <c r="L37" s="3">
        <v>45731</v>
      </c>
      <c r="M37" t="s">
        <v>16</v>
      </c>
      <c r="N37" t="str">
        <f>IF(Table1[[#This Row],[Age]]&lt;25,"&lt; 25",IF(Table1[[#This Row],[Age]]&lt;36,"25-35",IF(Table1[[#This Row],[Age]]&lt;51,"36-50",IF(Table1[[#This Row],[Age]]&lt;66,"51-65",IF(Table1[[#This Row],[Age]]&gt;65,"&gt;65","none")))))</f>
        <v>25-35</v>
      </c>
      <c r="O37" t="str">
        <f>IF(AND(Table1[[#This Row],[Smoker]]="Yes",Table1[[#This Row],[Diabetic]]="Yes"),"Yes","No")</f>
        <v>Yes</v>
      </c>
      <c r="P37" t="str">
        <f>IF(OR(Table1[[#This Row],[Smoker]]="Yes",Table1[[#This Row],[Diabetic]]="Yes"),"Yes","No")</f>
        <v>Yes</v>
      </c>
      <c r="Q37" s="1" t="str">
        <f>IF(OR(Table1[[#This Row],[Systolic]]&gt;125,Table1[[#This Row],[Diastolic]]&gt;90),"High","Normal")</f>
        <v>High</v>
      </c>
      <c r="R37" s="1">
        <f>Table1[[#This Row],[Discharge_Date]]-Table1[[#This Row],[Admission_Date]]</f>
        <v>6</v>
      </c>
      <c r="S37" s="1"/>
    </row>
    <row r="38" spans="1:19" x14ac:dyDescent="0.3">
      <c r="A38" t="s">
        <v>59</v>
      </c>
      <c r="B38">
        <v>58</v>
      </c>
      <c r="C38" t="s">
        <v>18</v>
      </c>
      <c r="D38">
        <v>18</v>
      </c>
      <c r="E38">
        <v>118</v>
      </c>
      <c r="F38">
        <v>106</v>
      </c>
      <c r="G38" t="s">
        <v>14</v>
      </c>
      <c r="H38" t="s">
        <v>14</v>
      </c>
      <c r="I38" t="s">
        <v>15</v>
      </c>
      <c r="J38" s="2">
        <v>3251.3</v>
      </c>
      <c r="K38" s="3">
        <v>45898</v>
      </c>
      <c r="L38" s="3">
        <v>45899</v>
      </c>
      <c r="M38" t="s">
        <v>16</v>
      </c>
      <c r="N38" t="str">
        <f>IF(Table1[[#This Row],[Age]]&lt;25,"&lt; 25",IF(Table1[[#This Row],[Age]]&lt;36,"25-35",IF(Table1[[#This Row],[Age]]&lt;51,"36-50",IF(Table1[[#This Row],[Age]]&lt;66,"51-65",IF(Table1[[#This Row],[Age]]&gt;65,"&gt;65","none")))))</f>
        <v>51-65</v>
      </c>
      <c r="O38" t="str">
        <f>IF(AND(Table1[[#This Row],[Smoker]]="Yes",Table1[[#This Row],[Diabetic]]="Yes"),"Yes","No")</f>
        <v>Yes</v>
      </c>
      <c r="P38" t="str">
        <f>IF(OR(Table1[[#This Row],[Smoker]]="Yes",Table1[[#This Row],[Diabetic]]="Yes"),"Yes","No")</f>
        <v>Yes</v>
      </c>
      <c r="Q38" s="1" t="str">
        <f>IF(OR(Table1[[#This Row],[Systolic]]&gt;125,Table1[[#This Row],[Diastolic]]&gt;90),"High","Normal")</f>
        <v>High</v>
      </c>
      <c r="R38" s="1">
        <f>Table1[[#This Row],[Discharge_Date]]-Table1[[#This Row],[Admission_Date]]</f>
        <v>1</v>
      </c>
      <c r="S38" s="1"/>
    </row>
    <row r="39" spans="1:19" x14ac:dyDescent="0.3">
      <c r="A39" t="s">
        <v>60</v>
      </c>
      <c r="B39">
        <v>39</v>
      </c>
      <c r="C39" t="s">
        <v>18</v>
      </c>
      <c r="D39">
        <v>36.5</v>
      </c>
      <c r="E39">
        <v>140</v>
      </c>
      <c r="F39">
        <v>108</v>
      </c>
      <c r="G39" t="s">
        <v>14</v>
      </c>
      <c r="H39" t="s">
        <v>14</v>
      </c>
      <c r="I39" t="s">
        <v>15</v>
      </c>
      <c r="J39" s="2">
        <v>1359.98</v>
      </c>
      <c r="K39" s="3">
        <v>45792</v>
      </c>
      <c r="L39" s="3">
        <v>45806</v>
      </c>
      <c r="M39" t="s">
        <v>23</v>
      </c>
      <c r="N39" t="str">
        <f>IF(Table1[[#This Row],[Age]]&lt;25,"&lt; 25",IF(Table1[[#This Row],[Age]]&lt;36,"25-35",IF(Table1[[#This Row],[Age]]&lt;51,"36-50",IF(Table1[[#This Row],[Age]]&lt;66,"51-65",IF(Table1[[#This Row],[Age]]&gt;65,"&gt;65","none")))))</f>
        <v>36-50</v>
      </c>
      <c r="O39" t="str">
        <f>IF(AND(Table1[[#This Row],[Smoker]]="Yes",Table1[[#This Row],[Diabetic]]="Yes"),"Yes","No")</f>
        <v>Yes</v>
      </c>
      <c r="P39" t="str">
        <f>IF(OR(Table1[[#This Row],[Smoker]]="Yes",Table1[[#This Row],[Diabetic]]="Yes"),"Yes","No")</f>
        <v>Yes</v>
      </c>
      <c r="Q39" s="1" t="str">
        <f>IF(OR(Table1[[#This Row],[Systolic]]&gt;125,Table1[[#This Row],[Diastolic]]&gt;90),"High","Normal")</f>
        <v>High</v>
      </c>
      <c r="R39" s="1">
        <f>Table1[[#This Row],[Discharge_Date]]-Table1[[#This Row],[Admission_Date]]</f>
        <v>14</v>
      </c>
      <c r="S39" s="1"/>
    </row>
    <row r="40" spans="1:19" x14ac:dyDescent="0.3">
      <c r="A40" t="s">
        <v>61</v>
      </c>
      <c r="B40">
        <v>20</v>
      </c>
      <c r="C40" t="s">
        <v>12</v>
      </c>
      <c r="D40">
        <v>30.8</v>
      </c>
      <c r="E40">
        <v>156</v>
      </c>
      <c r="F40">
        <v>81</v>
      </c>
      <c r="G40" t="s">
        <v>13</v>
      </c>
      <c r="H40" t="s">
        <v>13</v>
      </c>
      <c r="I40" t="s">
        <v>21</v>
      </c>
      <c r="J40" s="2">
        <v>338.6</v>
      </c>
      <c r="K40" s="3">
        <v>45837</v>
      </c>
      <c r="L40" s="3">
        <v>45839</v>
      </c>
      <c r="M40" t="s">
        <v>23</v>
      </c>
      <c r="N40" t="str">
        <f>IF(Table1[[#This Row],[Age]]&lt;25,"&lt; 25",IF(Table1[[#This Row],[Age]]&lt;36,"25-35",IF(Table1[[#This Row],[Age]]&lt;51,"36-50",IF(Table1[[#This Row],[Age]]&lt;66,"51-65",IF(Table1[[#This Row],[Age]]&gt;65,"&gt;65","none")))))</f>
        <v>&lt; 25</v>
      </c>
      <c r="O40" t="str">
        <f>IF(AND(Table1[[#This Row],[Smoker]]="Yes",Table1[[#This Row],[Diabetic]]="Yes"),"Yes","No")</f>
        <v>No</v>
      </c>
      <c r="P40" t="str">
        <f>IF(OR(Table1[[#This Row],[Smoker]]="Yes",Table1[[#This Row],[Diabetic]]="Yes"),"Yes","No")</f>
        <v>No</v>
      </c>
      <c r="Q40" s="1" t="str">
        <f>IF(OR(Table1[[#This Row],[Systolic]]&gt;125,Table1[[#This Row],[Diastolic]]&gt;90),"High","Normal")</f>
        <v>High</v>
      </c>
      <c r="R40" s="1">
        <f>Table1[[#This Row],[Discharge_Date]]-Table1[[#This Row],[Admission_Date]]</f>
        <v>2</v>
      </c>
      <c r="S40" s="1"/>
    </row>
    <row r="41" spans="1:19" x14ac:dyDescent="0.3">
      <c r="A41" t="s">
        <v>62</v>
      </c>
      <c r="B41">
        <v>59</v>
      </c>
      <c r="C41" t="s">
        <v>12</v>
      </c>
      <c r="D41">
        <v>31.6</v>
      </c>
      <c r="E41">
        <v>133</v>
      </c>
      <c r="F41">
        <v>108</v>
      </c>
      <c r="G41" t="s">
        <v>14</v>
      </c>
      <c r="H41" t="s">
        <v>13</v>
      </c>
      <c r="I41" t="s">
        <v>21</v>
      </c>
      <c r="J41" s="2">
        <v>1243.6099999999999</v>
      </c>
      <c r="K41" s="3">
        <v>45865</v>
      </c>
      <c r="L41" s="3">
        <v>45871</v>
      </c>
      <c r="M41" t="s">
        <v>19</v>
      </c>
      <c r="N41" t="str">
        <f>IF(Table1[[#This Row],[Age]]&lt;25,"&lt; 25",IF(Table1[[#This Row],[Age]]&lt;36,"25-35",IF(Table1[[#This Row],[Age]]&lt;51,"36-50",IF(Table1[[#This Row],[Age]]&lt;66,"51-65",IF(Table1[[#This Row],[Age]]&gt;65,"&gt;65","none")))))</f>
        <v>51-65</v>
      </c>
      <c r="O41" t="str">
        <f>IF(AND(Table1[[#This Row],[Smoker]]="Yes",Table1[[#This Row],[Diabetic]]="Yes"),"Yes","No")</f>
        <v>No</v>
      </c>
      <c r="P41" t="str">
        <f>IF(OR(Table1[[#This Row],[Smoker]]="Yes",Table1[[#This Row],[Diabetic]]="Yes"),"Yes","No")</f>
        <v>Yes</v>
      </c>
      <c r="Q41" s="1" t="str">
        <f>IF(OR(Table1[[#This Row],[Systolic]]&gt;125,Table1[[#This Row],[Diastolic]]&gt;90),"High","Normal")</f>
        <v>High</v>
      </c>
      <c r="R41" s="1">
        <f>Table1[[#This Row],[Discharge_Date]]-Table1[[#This Row],[Admission_Date]]</f>
        <v>6</v>
      </c>
      <c r="S41" s="1"/>
    </row>
    <row r="42" spans="1:19" x14ac:dyDescent="0.3">
      <c r="A42" t="s">
        <v>63</v>
      </c>
      <c r="B42">
        <v>34</v>
      </c>
      <c r="C42" t="s">
        <v>12</v>
      </c>
      <c r="D42">
        <v>26.5</v>
      </c>
      <c r="E42">
        <v>109</v>
      </c>
      <c r="F42">
        <v>104</v>
      </c>
      <c r="G42" t="s">
        <v>14</v>
      </c>
      <c r="H42" t="s">
        <v>14</v>
      </c>
      <c r="I42" t="s">
        <v>25</v>
      </c>
      <c r="J42" s="2">
        <v>2529.89</v>
      </c>
      <c r="K42" s="3">
        <v>45838</v>
      </c>
      <c r="L42" s="3">
        <v>45846</v>
      </c>
      <c r="M42" t="s">
        <v>19</v>
      </c>
      <c r="N42" t="str">
        <f>IF(Table1[[#This Row],[Age]]&lt;25,"&lt; 25",IF(Table1[[#This Row],[Age]]&lt;36,"25-35",IF(Table1[[#This Row],[Age]]&lt;51,"36-50",IF(Table1[[#This Row],[Age]]&lt;66,"51-65",IF(Table1[[#This Row],[Age]]&gt;65,"&gt;65","none")))))</f>
        <v>25-35</v>
      </c>
      <c r="O42" t="str">
        <f>IF(AND(Table1[[#This Row],[Smoker]]="Yes",Table1[[#This Row],[Diabetic]]="Yes"),"Yes","No")</f>
        <v>Yes</v>
      </c>
      <c r="P42" t="str">
        <f>IF(OR(Table1[[#This Row],[Smoker]]="Yes",Table1[[#This Row],[Diabetic]]="Yes"),"Yes","No")</f>
        <v>Yes</v>
      </c>
      <c r="Q42" s="1" t="str">
        <f>IF(OR(Table1[[#This Row],[Systolic]]&gt;125,Table1[[#This Row],[Diastolic]]&gt;90),"High","Normal")</f>
        <v>High</v>
      </c>
      <c r="R42" s="1">
        <f>Table1[[#This Row],[Discharge_Date]]-Table1[[#This Row],[Admission_Date]]</f>
        <v>8</v>
      </c>
      <c r="S42" s="1"/>
    </row>
    <row r="43" spans="1:19" x14ac:dyDescent="0.3">
      <c r="A43" t="s">
        <v>64</v>
      </c>
      <c r="B43">
        <v>83</v>
      </c>
      <c r="C43" t="s">
        <v>12</v>
      </c>
      <c r="D43">
        <v>39.299999999999997</v>
      </c>
      <c r="E43">
        <v>139</v>
      </c>
      <c r="F43">
        <v>78</v>
      </c>
      <c r="G43" t="s">
        <v>13</v>
      </c>
      <c r="H43" t="s">
        <v>13</v>
      </c>
      <c r="I43" t="s">
        <v>15</v>
      </c>
      <c r="J43" s="2">
        <v>3323.57</v>
      </c>
      <c r="K43" s="3">
        <v>45850</v>
      </c>
      <c r="L43" s="3">
        <v>45862</v>
      </c>
      <c r="M43" t="s">
        <v>16</v>
      </c>
      <c r="N43" t="str">
        <f>IF(Table1[[#This Row],[Age]]&lt;25,"&lt; 25",IF(Table1[[#This Row],[Age]]&lt;36,"25-35",IF(Table1[[#This Row],[Age]]&lt;51,"36-50",IF(Table1[[#This Row],[Age]]&lt;66,"51-65",IF(Table1[[#This Row],[Age]]&gt;65,"&gt;65","none")))))</f>
        <v>&gt;65</v>
      </c>
      <c r="O43" t="str">
        <f>IF(AND(Table1[[#This Row],[Smoker]]="Yes",Table1[[#This Row],[Diabetic]]="Yes"),"Yes","No")</f>
        <v>No</v>
      </c>
      <c r="P43" t="str">
        <f>IF(OR(Table1[[#This Row],[Smoker]]="Yes",Table1[[#This Row],[Diabetic]]="Yes"),"Yes","No")</f>
        <v>No</v>
      </c>
      <c r="Q43" s="1" t="str">
        <f>IF(OR(Table1[[#This Row],[Systolic]]&gt;125,Table1[[#This Row],[Diastolic]]&gt;90),"High","Normal")</f>
        <v>High</v>
      </c>
      <c r="R43" s="1">
        <f>Table1[[#This Row],[Discharge_Date]]-Table1[[#This Row],[Admission_Date]]</f>
        <v>12</v>
      </c>
      <c r="S43" s="1"/>
    </row>
    <row r="44" spans="1:19" x14ac:dyDescent="0.3">
      <c r="A44" t="s">
        <v>65</v>
      </c>
      <c r="B44">
        <v>88</v>
      </c>
      <c r="C44" t="s">
        <v>18</v>
      </c>
      <c r="D44">
        <v>31.1</v>
      </c>
      <c r="E44">
        <v>141</v>
      </c>
      <c r="F44">
        <v>62</v>
      </c>
      <c r="G44" t="s">
        <v>14</v>
      </c>
      <c r="H44" t="s">
        <v>14</v>
      </c>
      <c r="I44" t="s">
        <v>25</v>
      </c>
      <c r="J44" s="2">
        <v>2396.69</v>
      </c>
      <c r="K44" s="3">
        <v>45726</v>
      </c>
      <c r="L44" s="3">
        <v>45740</v>
      </c>
      <c r="M44" t="s">
        <v>23</v>
      </c>
      <c r="N44" t="str">
        <f>IF(Table1[[#This Row],[Age]]&lt;25,"&lt; 25",IF(Table1[[#This Row],[Age]]&lt;36,"25-35",IF(Table1[[#This Row],[Age]]&lt;51,"36-50",IF(Table1[[#This Row],[Age]]&lt;66,"51-65",IF(Table1[[#This Row],[Age]]&gt;65,"&gt;65","none")))))</f>
        <v>&gt;65</v>
      </c>
      <c r="O44" t="str">
        <f>IF(AND(Table1[[#This Row],[Smoker]]="Yes",Table1[[#This Row],[Diabetic]]="Yes"),"Yes","No")</f>
        <v>Yes</v>
      </c>
      <c r="P44" t="str">
        <f>IF(OR(Table1[[#This Row],[Smoker]]="Yes",Table1[[#This Row],[Diabetic]]="Yes"),"Yes","No")</f>
        <v>Yes</v>
      </c>
      <c r="Q44" s="1" t="str">
        <f>IF(OR(Table1[[#This Row],[Systolic]]&gt;125,Table1[[#This Row],[Diastolic]]&gt;90),"High","Normal")</f>
        <v>High</v>
      </c>
      <c r="R44" s="1">
        <f>Table1[[#This Row],[Discharge_Date]]-Table1[[#This Row],[Admission_Date]]</f>
        <v>14</v>
      </c>
      <c r="S44" s="1"/>
    </row>
    <row r="45" spans="1:19" x14ac:dyDescent="0.3">
      <c r="A45" t="s">
        <v>66</v>
      </c>
      <c r="B45">
        <v>78</v>
      </c>
      <c r="C45" t="s">
        <v>18</v>
      </c>
      <c r="D45">
        <v>39.799999999999997</v>
      </c>
      <c r="E45">
        <v>141</v>
      </c>
      <c r="F45">
        <v>82</v>
      </c>
      <c r="G45" t="s">
        <v>14</v>
      </c>
      <c r="H45" t="s">
        <v>13</v>
      </c>
      <c r="I45" t="s">
        <v>15</v>
      </c>
      <c r="J45" s="2">
        <v>1538.89</v>
      </c>
      <c r="K45" s="3">
        <v>45830</v>
      </c>
      <c r="L45" s="3">
        <v>45836</v>
      </c>
      <c r="M45" t="s">
        <v>16</v>
      </c>
      <c r="N45" t="str">
        <f>IF(Table1[[#This Row],[Age]]&lt;25,"&lt; 25",IF(Table1[[#This Row],[Age]]&lt;36,"25-35",IF(Table1[[#This Row],[Age]]&lt;51,"36-50",IF(Table1[[#This Row],[Age]]&lt;66,"51-65",IF(Table1[[#This Row],[Age]]&gt;65,"&gt;65","none")))))</f>
        <v>&gt;65</v>
      </c>
      <c r="O45" t="str">
        <f>IF(AND(Table1[[#This Row],[Smoker]]="Yes",Table1[[#This Row],[Diabetic]]="Yes"),"Yes","No")</f>
        <v>No</v>
      </c>
      <c r="P45" t="str">
        <f>IF(OR(Table1[[#This Row],[Smoker]]="Yes",Table1[[#This Row],[Diabetic]]="Yes"),"Yes","No")</f>
        <v>Yes</v>
      </c>
      <c r="Q45" s="1" t="str">
        <f>IF(OR(Table1[[#This Row],[Systolic]]&gt;125,Table1[[#This Row],[Diastolic]]&gt;90),"High","Normal")</f>
        <v>High</v>
      </c>
      <c r="R45" s="1">
        <f>Table1[[#This Row],[Discharge_Date]]-Table1[[#This Row],[Admission_Date]]</f>
        <v>6</v>
      </c>
      <c r="S45" s="1"/>
    </row>
    <row r="46" spans="1:19" x14ac:dyDescent="0.3">
      <c r="A46" t="s">
        <v>67</v>
      </c>
      <c r="B46">
        <v>62</v>
      </c>
      <c r="C46" t="s">
        <v>18</v>
      </c>
      <c r="D46">
        <v>22.3</v>
      </c>
      <c r="E46">
        <v>156</v>
      </c>
      <c r="F46">
        <v>107</v>
      </c>
      <c r="G46" t="s">
        <v>14</v>
      </c>
      <c r="H46" t="s">
        <v>13</v>
      </c>
      <c r="I46" t="s">
        <v>21</v>
      </c>
      <c r="J46" s="2">
        <v>925.82</v>
      </c>
      <c r="K46" s="3">
        <v>45659</v>
      </c>
      <c r="L46" s="3">
        <v>45669</v>
      </c>
      <c r="M46" t="s">
        <v>23</v>
      </c>
      <c r="N46" t="str">
        <f>IF(Table1[[#This Row],[Age]]&lt;25,"&lt; 25",IF(Table1[[#This Row],[Age]]&lt;36,"25-35",IF(Table1[[#This Row],[Age]]&lt;51,"36-50",IF(Table1[[#This Row],[Age]]&lt;66,"51-65",IF(Table1[[#This Row],[Age]]&gt;65,"&gt;65","none")))))</f>
        <v>51-65</v>
      </c>
      <c r="O46" t="str">
        <f>IF(AND(Table1[[#This Row],[Smoker]]="Yes",Table1[[#This Row],[Diabetic]]="Yes"),"Yes","No")</f>
        <v>No</v>
      </c>
      <c r="P46" t="str">
        <f>IF(OR(Table1[[#This Row],[Smoker]]="Yes",Table1[[#This Row],[Diabetic]]="Yes"),"Yes","No")</f>
        <v>Yes</v>
      </c>
      <c r="Q46" s="1" t="str">
        <f>IF(OR(Table1[[#This Row],[Systolic]]&gt;125,Table1[[#This Row],[Diastolic]]&gt;90),"High","Normal")</f>
        <v>High</v>
      </c>
      <c r="R46" s="1">
        <f>Table1[[#This Row],[Discharge_Date]]-Table1[[#This Row],[Admission_Date]]</f>
        <v>10</v>
      </c>
      <c r="S46" s="1"/>
    </row>
    <row r="47" spans="1:19" x14ac:dyDescent="0.3">
      <c r="A47" t="s">
        <v>68</v>
      </c>
      <c r="B47">
        <v>88</v>
      </c>
      <c r="C47" t="s">
        <v>18</v>
      </c>
      <c r="D47">
        <v>22</v>
      </c>
      <c r="E47">
        <v>168</v>
      </c>
      <c r="F47">
        <v>98</v>
      </c>
      <c r="G47" t="s">
        <v>13</v>
      </c>
      <c r="H47" t="s">
        <v>13</v>
      </c>
      <c r="I47" t="s">
        <v>34</v>
      </c>
      <c r="J47" s="2">
        <v>3853.36</v>
      </c>
      <c r="K47" s="3">
        <v>45583</v>
      </c>
      <c r="L47" s="3">
        <v>45590</v>
      </c>
      <c r="M47" t="s">
        <v>19</v>
      </c>
      <c r="N47" t="str">
        <f>IF(Table1[[#This Row],[Age]]&lt;25,"&lt; 25",IF(Table1[[#This Row],[Age]]&lt;36,"25-35",IF(Table1[[#This Row],[Age]]&lt;51,"36-50",IF(Table1[[#This Row],[Age]]&lt;66,"51-65",IF(Table1[[#This Row],[Age]]&gt;65,"&gt;65","none")))))</f>
        <v>&gt;65</v>
      </c>
      <c r="O47" t="str">
        <f>IF(AND(Table1[[#This Row],[Smoker]]="Yes",Table1[[#This Row],[Diabetic]]="Yes"),"Yes","No")</f>
        <v>No</v>
      </c>
      <c r="P47" t="str">
        <f>IF(OR(Table1[[#This Row],[Smoker]]="Yes",Table1[[#This Row],[Diabetic]]="Yes"),"Yes","No")</f>
        <v>No</v>
      </c>
      <c r="Q47" s="1" t="str">
        <f>IF(OR(Table1[[#This Row],[Systolic]]&gt;125,Table1[[#This Row],[Diastolic]]&gt;90),"High","Normal")</f>
        <v>High</v>
      </c>
      <c r="R47" s="1">
        <f>Table1[[#This Row],[Discharge_Date]]-Table1[[#This Row],[Admission_Date]]</f>
        <v>7</v>
      </c>
      <c r="S47" s="1"/>
    </row>
    <row r="48" spans="1:19" x14ac:dyDescent="0.3">
      <c r="A48" t="s">
        <v>69</v>
      </c>
      <c r="B48">
        <v>50</v>
      </c>
      <c r="C48" t="s">
        <v>18</v>
      </c>
      <c r="D48">
        <v>37.700000000000003</v>
      </c>
      <c r="E48">
        <v>180</v>
      </c>
      <c r="F48">
        <v>119</v>
      </c>
      <c r="G48" t="s">
        <v>14</v>
      </c>
      <c r="H48" t="s">
        <v>14</v>
      </c>
      <c r="I48" t="s">
        <v>15</v>
      </c>
      <c r="J48" s="2">
        <v>973.26</v>
      </c>
      <c r="K48" s="3">
        <v>45641</v>
      </c>
      <c r="L48" s="3">
        <v>45647</v>
      </c>
      <c r="M48" t="s">
        <v>23</v>
      </c>
      <c r="N48" t="str">
        <f>IF(Table1[[#This Row],[Age]]&lt;25,"&lt; 25",IF(Table1[[#This Row],[Age]]&lt;36,"25-35",IF(Table1[[#This Row],[Age]]&lt;51,"36-50",IF(Table1[[#This Row],[Age]]&lt;66,"51-65",IF(Table1[[#This Row],[Age]]&gt;65,"&gt;65","none")))))</f>
        <v>36-50</v>
      </c>
      <c r="O48" t="str">
        <f>IF(AND(Table1[[#This Row],[Smoker]]="Yes",Table1[[#This Row],[Diabetic]]="Yes"),"Yes","No")</f>
        <v>Yes</v>
      </c>
      <c r="P48" t="str">
        <f>IF(OR(Table1[[#This Row],[Smoker]]="Yes",Table1[[#This Row],[Diabetic]]="Yes"),"Yes","No")</f>
        <v>Yes</v>
      </c>
      <c r="Q48" s="1" t="str">
        <f>IF(OR(Table1[[#This Row],[Systolic]]&gt;125,Table1[[#This Row],[Diastolic]]&gt;90),"High","Normal")</f>
        <v>High</v>
      </c>
      <c r="R48" s="1">
        <f>Table1[[#This Row],[Discharge_Date]]-Table1[[#This Row],[Admission_Date]]</f>
        <v>6</v>
      </c>
      <c r="S48" s="1"/>
    </row>
    <row r="49" spans="1:19" x14ac:dyDescent="0.3">
      <c r="A49" t="s">
        <v>70</v>
      </c>
      <c r="B49">
        <v>18</v>
      </c>
      <c r="C49" t="s">
        <v>12</v>
      </c>
      <c r="D49">
        <v>30.1</v>
      </c>
      <c r="E49">
        <v>170</v>
      </c>
      <c r="F49">
        <v>107</v>
      </c>
      <c r="G49" t="s">
        <v>13</v>
      </c>
      <c r="H49" t="s">
        <v>13</v>
      </c>
      <c r="I49" t="s">
        <v>21</v>
      </c>
      <c r="J49" s="2">
        <v>3426.07</v>
      </c>
      <c r="K49" s="3">
        <v>45769</v>
      </c>
      <c r="L49" s="3">
        <v>45770</v>
      </c>
      <c r="M49" t="s">
        <v>16</v>
      </c>
      <c r="N49" t="str">
        <f>IF(Table1[[#This Row],[Age]]&lt;25,"&lt; 25",IF(Table1[[#This Row],[Age]]&lt;36,"25-35",IF(Table1[[#This Row],[Age]]&lt;51,"36-50",IF(Table1[[#This Row],[Age]]&lt;66,"51-65",IF(Table1[[#This Row],[Age]]&gt;65,"&gt;65","none")))))</f>
        <v>&lt; 25</v>
      </c>
      <c r="O49" t="str">
        <f>IF(AND(Table1[[#This Row],[Smoker]]="Yes",Table1[[#This Row],[Diabetic]]="Yes"),"Yes","No")</f>
        <v>No</v>
      </c>
      <c r="P49" t="str">
        <f>IF(OR(Table1[[#This Row],[Smoker]]="Yes",Table1[[#This Row],[Diabetic]]="Yes"),"Yes","No")</f>
        <v>No</v>
      </c>
      <c r="Q49" s="1" t="str">
        <f>IF(OR(Table1[[#This Row],[Systolic]]&gt;125,Table1[[#This Row],[Diastolic]]&gt;90),"High","Normal")</f>
        <v>High</v>
      </c>
      <c r="R49" s="1">
        <f>Table1[[#This Row],[Discharge_Date]]-Table1[[#This Row],[Admission_Date]]</f>
        <v>1</v>
      </c>
      <c r="S49" s="1"/>
    </row>
    <row r="50" spans="1:19" x14ac:dyDescent="0.3">
      <c r="A50" t="s">
        <v>71</v>
      </c>
      <c r="B50">
        <v>51</v>
      </c>
      <c r="C50" t="s">
        <v>18</v>
      </c>
      <c r="D50">
        <v>28.6</v>
      </c>
      <c r="E50">
        <v>120</v>
      </c>
      <c r="F50">
        <v>61</v>
      </c>
      <c r="G50" t="s">
        <v>13</v>
      </c>
      <c r="H50" t="s">
        <v>14</v>
      </c>
      <c r="I50" t="s">
        <v>21</v>
      </c>
      <c r="J50" s="2">
        <v>2073.9699999999998</v>
      </c>
      <c r="K50" s="3">
        <v>45900</v>
      </c>
      <c r="L50" s="3">
        <v>45901</v>
      </c>
      <c r="M50" t="s">
        <v>16</v>
      </c>
      <c r="N50" t="str">
        <f>IF(Table1[[#This Row],[Age]]&lt;25,"&lt; 25",IF(Table1[[#This Row],[Age]]&lt;36,"25-35",IF(Table1[[#This Row],[Age]]&lt;51,"36-50",IF(Table1[[#This Row],[Age]]&lt;66,"51-65",IF(Table1[[#This Row],[Age]]&gt;65,"&gt;65","none")))))</f>
        <v>51-65</v>
      </c>
      <c r="O50" t="str">
        <f>IF(AND(Table1[[#This Row],[Smoker]]="Yes",Table1[[#This Row],[Diabetic]]="Yes"),"Yes","No")</f>
        <v>No</v>
      </c>
      <c r="P50" t="str">
        <f>IF(OR(Table1[[#This Row],[Smoker]]="Yes",Table1[[#This Row],[Diabetic]]="Yes"),"Yes","No")</f>
        <v>Yes</v>
      </c>
      <c r="Q50" s="1" t="str">
        <f>IF(OR(Table1[[#This Row],[Systolic]]&gt;125,Table1[[#This Row],[Diastolic]]&gt;90),"High","Normal")</f>
        <v>Normal</v>
      </c>
      <c r="R50" s="1">
        <f>Table1[[#This Row],[Discharge_Date]]-Table1[[#This Row],[Admission_Date]]</f>
        <v>1</v>
      </c>
      <c r="S50" s="1"/>
    </row>
    <row r="51" spans="1:19" x14ac:dyDescent="0.3">
      <c r="A51" t="s">
        <v>72</v>
      </c>
      <c r="B51">
        <v>82</v>
      </c>
      <c r="C51" t="s">
        <v>12</v>
      </c>
      <c r="D51">
        <v>39.799999999999997</v>
      </c>
      <c r="E51">
        <v>177</v>
      </c>
      <c r="F51">
        <v>119</v>
      </c>
      <c r="G51" t="s">
        <v>13</v>
      </c>
      <c r="H51" t="s">
        <v>14</v>
      </c>
      <c r="I51" t="s">
        <v>32</v>
      </c>
      <c r="J51" s="2">
        <v>3852.52</v>
      </c>
      <c r="K51" s="3">
        <v>45869</v>
      </c>
      <c r="L51" s="3">
        <v>45883</v>
      </c>
      <c r="M51" t="s">
        <v>19</v>
      </c>
      <c r="N51" t="str">
        <f>IF(Table1[[#This Row],[Age]]&lt;25,"&lt; 25",IF(Table1[[#This Row],[Age]]&lt;36,"25-35",IF(Table1[[#This Row],[Age]]&lt;51,"36-50",IF(Table1[[#This Row],[Age]]&lt;66,"51-65",IF(Table1[[#This Row],[Age]]&gt;65,"&gt;65","none")))))</f>
        <v>&gt;65</v>
      </c>
      <c r="O51" t="str">
        <f>IF(AND(Table1[[#This Row],[Smoker]]="Yes",Table1[[#This Row],[Diabetic]]="Yes"),"Yes","No")</f>
        <v>No</v>
      </c>
      <c r="P51" t="str">
        <f>IF(OR(Table1[[#This Row],[Smoker]]="Yes",Table1[[#This Row],[Diabetic]]="Yes"),"Yes","No")</f>
        <v>Yes</v>
      </c>
      <c r="Q51" s="1" t="str">
        <f>IF(OR(Table1[[#This Row],[Systolic]]&gt;125,Table1[[#This Row],[Diastolic]]&gt;90),"High","Normal")</f>
        <v>High</v>
      </c>
      <c r="R51" s="1">
        <f>Table1[[#This Row],[Discharge_Date]]-Table1[[#This Row],[Admission_Date]]</f>
        <v>14</v>
      </c>
      <c r="S51" s="1"/>
    </row>
    <row r="52" spans="1:19" x14ac:dyDescent="0.3">
      <c r="A52" t="s">
        <v>73</v>
      </c>
      <c r="B52">
        <v>25</v>
      </c>
      <c r="C52" t="s">
        <v>18</v>
      </c>
      <c r="D52">
        <v>27.3</v>
      </c>
      <c r="E52">
        <v>178</v>
      </c>
      <c r="F52">
        <v>118</v>
      </c>
      <c r="G52" t="s">
        <v>13</v>
      </c>
      <c r="H52" t="s">
        <v>13</v>
      </c>
      <c r="I52" t="s">
        <v>25</v>
      </c>
      <c r="J52" s="2">
        <v>2101.0500000000002</v>
      </c>
      <c r="K52" s="3">
        <v>45647</v>
      </c>
      <c r="L52" s="3">
        <v>45655</v>
      </c>
      <c r="M52" t="s">
        <v>23</v>
      </c>
      <c r="N52" t="str">
        <f>IF(Table1[[#This Row],[Age]]&lt;25,"&lt; 25",IF(Table1[[#This Row],[Age]]&lt;36,"25-35",IF(Table1[[#This Row],[Age]]&lt;51,"36-50",IF(Table1[[#This Row],[Age]]&lt;66,"51-65",IF(Table1[[#This Row],[Age]]&gt;65,"&gt;65","none")))))</f>
        <v>25-35</v>
      </c>
      <c r="O52" t="str">
        <f>IF(AND(Table1[[#This Row],[Smoker]]="Yes",Table1[[#This Row],[Diabetic]]="Yes"),"Yes","No")</f>
        <v>No</v>
      </c>
      <c r="P52" t="str">
        <f>IF(OR(Table1[[#This Row],[Smoker]]="Yes",Table1[[#This Row],[Diabetic]]="Yes"),"Yes","No")</f>
        <v>No</v>
      </c>
      <c r="Q52" s="1" t="str">
        <f>IF(OR(Table1[[#This Row],[Systolic]]&gt;125,Table1[[#This Row],[Diastolic]]&gt;90),"High","Normal")</f>
        <v>High</v>
      </c>
      <c r="R52" s="1">
        <f>Table1[[#This Row],[Discharge_Date]]-Table1[[#This Row],[Admission_Date]]</f>
        <v>8</v>
      </c>
      <c r="S52" s="1"/>
    </row>
    <row r="53" spans="1:19" x14ac:dyDescent="0.3">
      <c r="A53" t="s">
        <v>74</v>
      </c>
      <c r="B53">
        <v>90</v>
      </c>
      <c r="C53" t="s">
        <v>18</v>
      </c>
      <c r="D53">
        <v>20.5</v>
      </c>
      <c r="E53">
        <v>172</v>
      </c>
      <c r="F53">
        <v>102</v>
      </c>
      <c r="G53" t="s">
        <v>13</v>
      </c>
      <c r="H53" t="s">
        <v>14</v>
      </c>
      <c r="I53" t="s">
        <v>32</v>
      </c>
      <c r="J53" s="2">
        <v>4021.64</v>
      </c>
      <c r="K53" s="3">
        <v>45650</v>
      </c>
      <c r="L53" s="3">
        <v>45659</v>
      </c>
      <c r="M53" t="s">
        <v>16</v>
      </c>
      <c r="N53" t="str">
        <f>IF(Table1[[#This Row],[Age]]&lt;25,"&lt; 25",IF(Table1[[#This Row],[Age]]&lt;36,"25-35",IF(Table1[[#This Row],[Age]]&lt;51,"36-50",IF(Table1[[#This Row],[Age]]&lt;66,"51-65",IF(Table1[[#This Row],[Age]]&gt;65,"&gt;65","none")))))</f>
        <v>&gt;65</v>
      </c>
      <c r="O53" t="str">
        <f>IF(AND(Table1[[#This Row],[Smoker]]="Yes",Table1[[#This Row],[Diabetic]]="Yes"),"Yes","No")</f>
        <v>No</v>
      </c>
      <c r="P53" t="str">
        <f>IF(OR(Table1[[#This Row],[Smoker]]="Yes",Table1[[#This Row],[Diabetic]]="Yes"),"Yes","No")</f>
        <v>Yes</v>
      </c>
      <c r="Q53" s="1" t="str">
        <f>IF(OR(Table1[[#This Row],[Systolic]]&gt;125,Table1[[#This Row],[Diastolic]]&gt;90),"High","Normal")</f>
        <v>High</v>
      </c>
      <c r="R53" s="1">
        <f>Table1[[#This Row],[Discharge_Date]]-Table1[[#This Row],[Admission_Date]]</f>
        <v>9</v>
      </c>
      <c r="S53" s="1"/>
    </row>
    <row r="54" spans="1:19" x14ac:dyDescent="0.3">
      <c r="A54" t="s">
        <v>75</v>
      </c>
      <c r="B54">
        <v>33</v>
      </c>
      <c r="C54" t="s">
        <v>12</v>
      </c>
      <c r="D54">
        <v>28.4</v>
      </c>
      <c r="E54">
        <v>102</v>
      </c>
      <c r="F54">
        <v>95</v>
      </c>
      <c r="G54" t="s">
        <v>13</v>
      </c>
      <c r="H54" t="s">
        <v>14</v>
      </c>
      <c r="I54" t="s">
        <v>15</v>
      </c>
      <c r="J54" s="2">
        <v>3749.63</v>
      </c>
      <c r="K54" s="3">
        <v>45731</v>
      </c>
      <c r="L54" s="3">
        <v>45732</v>
      </c>
      <c r="M54" t="s">
        <v>16</v>
      </c>
      <c r="N54" t="str">
        <f>IF(Table1[[#This Row],[Age]]&lt;25,"&lt; 25",IF(Table1[[#This Row],[Age]]&lt;36,"25-35",IF(Table1[[#This Row],[Age]]&lt;51,"36-50",IF(Table1[[#This Row],[Age]]&lt;66,"51-65",IF(Table1[[#This Row],[Age]]&gt;65,"&gt;65","none")))))</f>
        <v>25-35</v>
      </c>
      <c r="O54" t="str">
        <f>IF(AND(Table1[[#This Row],[Smoker]]="Yes",Table1[[#This Row],[Diabetic]]="Yes"),"Yes","No")</f>
        <v>No</v>
      </c>
      <c r="P54" t="str">
        <f>IF(OR(Table1[[#This Row],[Smoker]]="Yes",Table1[[#This Row],[Diabetic]]="Yes"),"Yes","No")</f>
        <v>Yes</v>
      </c>
      <c r="Q54" s="1" t="str">
        <f>IF(OR(Table1[[#This Row],[Systolic]]&gt;125,Table1[[#This Row],[Diastolic]]&gt;90),"High","Normal")</f>
        <v>High</v>
      </c>
      <c r="R54" s="1">
        <f>Table1[[#This Row],[Discharge_Date]]-Table1[[#This Row],[Admission_Date]]</f>
        <v>1</v>
      </c>
      <c r="S54" s="1"/>
    </row>
    <row r="55" spans="1:19" x14ac:dyDescent="0.3">
      <c r="A55" t="s">
        <v>76</v>
      </c>
      <c r="B55">
        <v>24</v>
      </c>
      <c r="C55" t="s">
        <v>18</v>
      </c>
      <c r="D55">
        <v>28.5</v>
      </c>
      <c r="E55">
        <v>171</v>
      </c>
      <c r="F55">
        <v>110</v>
      </c>
      <c r="G55" t="s">
        <v>13</v>
      </c>
      <c r="H55" t="s">
        <v>14</v>
      </c>
      <c r="I55" t="s">
        <v>34</v>
      </c>
      <c r="J55" s="2">
        <v>4115.57</v>
      </c>
      <c r="K55" s="3">
        <v>45872</v>
      </c>
      <c r="L55" s="3">
        <v>45885</v>
      </c>
      <c r="M55" t="s">
        <v>16</v>
      </c>
      <c r="N55" t="str">
        <f>IF(Table1[[#This Row],[Age]]&lt;25,"&lt; 25",IF(Table1[[#This Row],[Age]]&lt;36,"25-35",IF(Table1[[#This Row],[Age]]&lt;51,"36-50",IF(Table1[[#This Row],[Age]]&lt;66,"51-65",IF(Table1[[#This Row],[Age]]&gt;65,"&gt;65","none")))))</f>
        <v>&lt; 25</v>
      </c>
      <c r="O55" t="str">
        <f>IF(AND(Table1[[#This Row],[Smoker]]="Yes",Table1[[#This Row],[Diabetic]]="Yes"),"Yes","No")</f>
        <v>No</v>
      </c>
      <c r="P55" t="str">
        <f>IF(OR(Table1[[#This Row],[Smoker]]="Yes",Table1[[#This Row],[Diabetic]]="Yes"),"Yes","No")</f>
        <v>Yes</v>
      </c>
      <c r="Q55" s="1" t="str">
        <f>IF(OR(Table1[[#This Row],[Systolic]]&gt;125,Table1[[#This Row],[Diastolic]]&gt;90),"High","Normal")</f>
        <v>High</v>
      </c>
      <c r="R55" s="1">
        <f>Table1[[#This Row],[Discharge_Date]]-Table1[[#This Row],[Admission_Date]]</f>
        <v>13</v>
      </c>
      <c r="S55" s="1"/>
    </row>
    <row r="56" spans="1:19" x14ac:dyDescent="0.3">
      <c r="A56" t="s">
        <v>77</v>
      </c>
      <c r="B56">
        <v>70</v>
      </c>
      <c r="C56" t="s">
        <v>12</v>
      </c>
      <c r="D56">
        <v>18.2</v>
      </c>
      <c r="E56">
        <v>159</v>
      </c>
      <c r="F56">
        <v>101</v>
      </c>
      <c r="G56" t="s">
        <v>13</v>
      </c>
      <c r="H56" t="s">
        <v>13</v>
      </c>
      <c r="I56" t="s">
        <v>32</v>
      </c>
      <c r="J56" s="2">
        <v>3555.68</v>
      </c>
      <c r="K56" s="3">
        <v>45602</v>
      </c>
      <c r="L56" s="3">
        <v>45607</v>
      </c>
      <c r="M56" t="s">
        <v>23</v>
      </c>
      <c r="N56" t="str">
        <f>IF(Table1[[#This Row],[Age]]&lt;25,"&lt; 25",IF(Table1[[#This Row],[Age]]&lt;36,"25-35",IF(Table1[[#This Row],[Age]]&lt;51,"36-50",IF(Table1[[#This Row],[Age]]&lt;66,"51-65",IF(Table1[[#This Row],[Age]]&gt;65,"&gt;65","none")))))</f>
        <v>&gt;65</v>
      </c>
      <c r="O56" t="str">
        <f>IF(AND(Table1[[#This Row],[Smoker]]="Yes",Table1[[#This Row],[Diabetic]]="Yes"),"Yes","No")</f>
        <v>No</v>
      </c>
      <c r="P56" t="str">
        <f>IF(OR(Table1[[#This Row],[Smoker]]="Yes",Table1[[#This Row],[Diabetic]]="Yes"),"Yes","No")</f>
        <v>No</v>
      </c>
      <c r="Q56" s="1" t="str">
        <f>IF(OR(Table1[[#This Row],[Systolic]]&gt;125,Table1[[#This Row],[Diastolic]]&gt;90),"High","Normal")</f>
        <v>High</v>
      </c>
      <c r="R56" s="1">
        <f>Table1[[#This Row],[Discharge_Date]]-Table1[[#This Row],[Admission_Date]]</f>
        <v>5</v>
      </c>
      <c r="S56" s="1"/>
    </row>
    <row r="57" spans="1:19" x14ac:dyDescent="0.3">
      <c r="A57" t="s">
        <v>78</v>
      </c>
      <c r="B57">
        <v>73</v>
      </c>
      <c r="C57" t="s">
        <v>12</v>
      </c>
      <c r="D57">
        <v>37.799999999999997</v>
      </c>
      <c r="E57">
        <v>141</v>
      </c>
      <c r="F57">
        <v>105</v>
      </c>
      <c r="G57" t="s">
        <v>13</v>
      </c>
      <c r="H57" t="s">
        <v>13</v>
      </c>
      <c r="I57" t="s">
        <v>25</v>
      </c>
      <c r="J57" s="2">
        <v>2146.96</v>
      </c>
      <c r="K57" s="3">
        <v>45666</v>
      </c>
      <c r="L57" s="3">
        <v>45667</v>
      </c>
      <c r="M57" t="s">
        <v>16</v>
      </c>
      <c r="N57" t="str">
        <f>IF(Table1[[#This Row],[Age]]&lt;25,"&lt; 25",IF(Table1[[#This Row],[Age]]&lt;36,"25-35",IF(Table1[[#This Row],[Age]]&lt;51,"36-50",IF(Table1[[#This Row],[Age]]&lt;66,"51-65",IF(Table1[[#This Row],[Age]]&gt;65,"&gt;65","none")))))</f>
        <v>&gt;65</v>
      </c>
      <c r="O57" t="str">
        <f>IF(AND(Table1[[#This Row],[Smoker]]="Yes",Table1[[#This Row],[Diabetic]]="Yes"),"Yes","No")</f>
        <v>No</v>
      </c>
      <c r="P57" t="str">
        <f>IF(OR(Table1[[#This Row],[Smoker]]="Yes",Table1[[#This Row],[Diabetic]]="Yes"),"Yes","No")</f>
        <v>No</v>
      </c>
      <c r="Q57" s="1" t="str">
        <f>IF(OR(Table1[[#This Row],[Systolic]]&gt;125,Table1[[#This Row],[Diastolic]]&gt;90),"High","Normal")</f>
        <v>High</v>
      </c>
      <c r="R57" s="1">
        <f>Table1[[#This Row],[Discharge_Date]]-Table1[[#This Row],[Admission_Date]]</f>
        <v>1</v>
      </c>
      <c r="S57" s="1"/>
    </row>
    <row r="58" spans="1:19" x14ac:dyDescent="0.3">
      <c r="A58" t="s">
        <v>79</v>
      </c>
      <c r="B58">
        <v>79</v>
      </c>
      <c r="C58" t="s">
        <v>18</v>
      </c>
      <c r="D58">
        <v>23.7</v>
      </c>
      <c r="E58">
        <v>175</v>
      </c>
      <c r="F58">
        <v>90</v>
      </c>
      <c r="G58" t="s">
        <v>13</v>
      </c>
      <c r="H58" t="s">
        <v>13</v>
      </c>
      <c r="I58" t="s">
        <v>32</v>
      </c>
      <c r="J58" s="2">
        <v>4699.47</v>
      </c>
      <c r="K58" s="3">
        <v>45801</v>
      </c>
      <c r="L58" s="3">
        <v>45815</v>
      </c>
      <c r="M58" t="s">
        <v>16</v>
      </c>
      <c r="N58" t="str">
        <f>IF(Table1[[#This Row],[Age]]&lt;25,"&lt; 25",IF(Table1[[#This Row],[Age]]&lt;36,"25-35",IF(Table1[[#This Row],[Age]]&lt;51,"36-50",IF(Table1[[#This Row],[Age]]&lt;66,"51-65",IF(Table1[[#This Row],[Age]]&gt;65,"&gt;65","none")))))</f>
        <v>&gt;65</v>
      </c>
      <c r="O58" t="str">
        <f>IF(AND(Table1[[#This Row],[Smoker]]="Yes",Table1[[#This Row],[Diabetic]]="Yes"),"Yes","No")</f>
        <v>No</v>
      </c>
      <c r="P58" t="str">
        <f>IF(OR(Table1[[#This Row],[Smoker]]="Yes",Table1[[#This Row],[Diabetic]]="Yes"),"Yes","No")</f>
        <v>No</v>
      </c>
      <c r="Q58" s="1" t="str">
        <f>IF(OR(Table1[[#This Row],[Systolic]]&gt;125,Table1[[#This Row],[Diastolic]]&gt;90),"High","Normal")</f>
        <v>High</v>
      </c>
      <c r="R58" s="1">
        <f>Table1[[#This Row],[Discharge_Date]]-Table1[[#This Row],[Admission_Date]]</f>
        <v>14</v>
      </c>
      <c r="S58" s="1"/>
    </row>
    <row r="59" spans="1:19" x14ac:dyDescent="0.3">
      <c r="A59" t="s">
        <v>80</v>
      </c>
      <c r="B59">
        <v>68</v>
      </c>
      <c r="C59" t="s">
        <v>12</v>
      </c>
      <c r="D59">
        <v>27.9</v>
      </c>
      <c r="E59">
        <v>91</v>
      </c>
      <c r="F59">
        <v>73</v>
      </c>
      <c r="G59" t="s">
        <v>14</v>
      </c>
      <c r="H59" t="s">
        <v>14</v>
      </c>
      <c r="I59" t="s">
        <v>21</v>
      </c>
      <c r="J59" s="2">
        <v>3575.38</v>
      </c>
      <c r="K59" s="3">
        <v>45845</v>
      </c>
      <c r="L59" s="3">
        <v>45846</v>
      </c>
      <c r="M59" t="s">
        <v>23</v>
      </c>
      <c r="N59" t="str">
        <f>IF(Table1[[#This Row],[Age]]&lt;25,"&lt; 25",IF(Table1[[#This Row],[Age]]&lt;36,"25-35",IF(Table1[[#This Row],[Age]]&lt;51,"36-50",IF(Table1[[#This Row],[Age]]&lt;66,"51-65",IF(Table1[[#This Row],[Age]]&gt;65,"&gt;65","none")))))</f>
        <v>&gt;65</v>
      </c>
      <c r="O59" t="str">
        <f>IF(AND(Table1[[#This Row],[Smoker]]="Yes",Table1[[#This Row],[Diabetic]]="Yes"),"Yes","No")</f>
        <v>Yes</v>
      </c>
      <c r="P59" t="str">
        <f>IF(OR(Table1[[#This Row],[Smoker]]="Yes",Table1[[#This Row],[Diabetic]]="Yes"),"Yes","No")</f>
        <v>Yes</v>
      </c>
      <c r="Q59" s="1" t="str">
        <f>IF(OR(Table1[[#This Row],[Systolic]]&gt;125,Table1[[#This Row],[Diastolic]]&gt;90),"High","Normal")</f>
        <v>Normal</v>
      </c>
      <c r="R59" s="1">
        <f>Table1[[#This Row],[Discharge_Date]]-Table1[[#This Row],[Admission_Date]]</f>
        <v>1</v>
      </c>
      <c r="S59" s="1"/>
    </row>
    <row r="60" spans="1:19" x14ac:dyDescent="0.3">
      <c r="A60" t="s">
        <v>81</v>
      </c>
      <c r="B60">
        <v>23</v>
      </c>
      <c r="C60" t="s">
        <v>18</v>
      </c>
      <c r="D60">
        <v>36.1</v>
      </c>
      <c r="E60">
        <v>141</v>
      </c>
      <c r="F60">
        <v>116</v>
      </c>
      <c r="G60" t="s">
        <v>13</v>
      </c>
      <c r="H60" t="s">
        <v>14</v>
      </c>
      <c r="I60" t="s">
        <v>34</v>
      </c>
      <c r="J60" s="2">
        <v>671.28</v>
      </c>
      <c r="K60" s="3">
        <v>45678</v>
      </c>
      <c r="L60" s="3">
        <v>45682</v>
      </c>
      <c r="M60" t="s">
        <v>23</v>
      </c>
      <c r="N60" t="str">
        <f>IF(Table1[[#This Row],[Age]]&lt;25,"&lt; 25",IF(Table1[[#This Row],[Age]]&lt;36,"25-35",IF(Table1[[#This Row],[Age]]&lt;51,"36-50",IF(Table1[[#This Row],[Age]]&lt;66,"51-65",IF(Table1[[#This Row],[Age]]&gt;65,"&gt;65","none")))))</f>
        <v>&lt; 25</v>
      </c>
      <c r="O60" t="str">
        <f>IF(AND(Table1[[#This Row],[Smoker]]="Yes",Table1[[#This Row],[Diabetic]]="Yes"),"Yes","No")</f>
        <v>No</v>
      </c>
      <c r="P60" t="str">
        <f>IF(OR(Table1[[#This Row],[Smoker]]="Yes",Table1[[#This Row],[Diabetic]]="Yes"),"Yes","No")</f>
        <v>Yes</v>
      </c>
      <c r="Q60" s="1" t="str">
        <f>IF(OR(Table1[[#This Row],[Systolic]]&gt;125,Table1[[#This Row],[Diastolic]]&gt;90),"High","Normal")</f>
        <v>High</v>
      </c>
      <c r="R60" s="1">
        <f>Table1[[#This Row],[Discharge_Date]]-Table1[[#This Row],[Admission_Date]]</f>
        <v>4</v>
      </c>
      <c r="S60" s="1"/>
    </row>
    <row r="61" spans="1:19" x14ac:dyDescent="0.3">
      <c r="A61" t="s">
        <v>82</v>
      </c>
      <c r="B61">
        <v>47</v>
      </c>
      <c r="C61" t="s">
        <v>12</v>
      </c>
      <c r="D61">
        <v>27.2</v>
      </c>
      <c r="E61">
        <v>113</v>
      </c>
      <c r="F61">
        <v>88</v>
      </c>
      <c r="G61" t="s">
        <v>14</v>
      </c>
      <c r="H61" t="s">
        <v>14</v>
      </c>
      <c r="I61" t="s">
        <v>15</v>
      </c>
      <c r="J61" s="2">
        <v>2035.65</v>
      </c>
      <c r="K61" s="3">
        <v>45892</v>
      </c>
      <c r="L61" s="3">
        <v>45898</v>
      </c>
      <c r="M61" t="s">
        <v>23</v>
      </c>
      <c r="N61" t="str">
        <f>IF(Table1[[#This Row],[Age]]&lt;25,"&lt; 25",IF(Table1[[#This Row],[Age]]&lt;36,"25-35",IF(Table1[[#This Row],[Age]]&lt;51,"36-50",IF(Table1[[#This Row],[Age]]&lt;66,"51-65",IF(Table1[[#This Row],[Age]]&gt;65,"&gt;65","none")))))</f>
        <v>36-50</v>
      </c>
      <c r="O61" t="str">
        <f>IF(AND(Table1[[#This Row],[Smoker]]="Yes",Table1[[#This Row],[Diabetic]]="Yes"),"Yes","No")</f>
        <v>Yes</v>
      </c>
      <c r="P61" t="str">
        <f>IF(OR(Table1[[#This Row],[Smoker]]="Yes",Table1[[#This Row],[Diabetic]]="Yes"),"Yes","No")</f>
        <v>Yes</v>
      </c>
      <c r="Q61" s="1" t="str">
        <f>IF(OR(Table1[[#This Row],[Systolic]]&gt;125,Table1[[#This Row],[Diastolic]]&gt;90),"High","Normal")</f>
        <v>Normal</v>
      </c>
      <c r="R61" s="1">
        <f>Table1[[#This Row],[Discharge_Date]]-Table1[[#This Row],[Admission_Date]]</f>
        <v>6</v>
      </c>
      <c r="S61" s="1"/>
    </row>
    <row r="62" spans="1:19" x14ac:dyDescent="0.3">
      <c r="A62" t="s">
        <v>83</v>
      </c>
      <c r="B62">
        <v>35</v>
      </c>
      <c r="C62" t="s">
        <v>12</v>
      </c>
      <c r="D62">
        <v>34.5</v>
      </c>
      <c r="E62">
        <v>90</v>
      </c>
      <c r="F62">
        <v>102</v>
      </c>
      <c r="G62" t="s">
        <v>14</v>
      </c>
      <c r="H62" t="s">
        <v>14</v>
      </c>
      <c r="I62" t="s">
        <v>15</v>
      </c>
      <c r="J62" s="2">
        <v>2138.59</v>
      </c>
      <c r="K62" s="3">
        <v>45701</v>
      </c>
      <c r="L62" s="3">
        <v>45714</v>
      </c>
      <c r="M62" t="s">
        <v>16</v>
      </c>
      <c r="N62" t="str">
        <f>IF(Table1[[#This Row],[Age]]&lt;25,"&lt; 25",IF(Table1[[#This Row],[Age]]&lt;36,"25-35",IF(Table1[[#This Row],[Age]]&lt;51,"36-50",IF(Table1[[#This Row],[Age]]&lt;66,"51-65",IF(Table1[[#This Row],[Age]]&gt;65,"&gt;65","none")))))</f>
        <v>25-35</v>
      </c>
      <c r="O62" t="str">
        <f>IF(AND(Table1[[#This Row],[Smoker]]="Yes",Table1[[#This Row],[Diabetic]]="Yes"),"Yes","No")</f>
        <v>Yes</v>
      </c>
      <c r="P62" t="str">
        <f>IF(OR(Table1[[#This Row],[Smoker]]="Yes",Table1[[#This Row],[Diabetic]]="Yes"),"Yes","No")</f>
        <v>Yes</v>
      </c>
      <c r="Q62" s="1" t="str">
        <f>IF(OR(Table1[[#This Row],[Systolic]]&gt;125,Table1[[#This Row],[Diastolic]]&gt;90),"High","Normal")</f>
        <v>High</v>
      </c>
      <c r="R62" s="1">
        <f>Table1[[#This Row],[Discharge_Date]]-Table1[[#This Row],[Admission_Date]]</f>
        <v>13</v>
      </c>
      <c r="S62" s="1"/>
    </row>
    <row r="63" spans="1:19" x14ac:dyDescent="0.3">
      <c r="A63" t="s">
        <v>84</v>
      </c>
      <c r="B63">
        <v>25</v>
      </c>
      <c r="C63" t="s">
        <v>18</v>
      </c>
      <c r="D63">
        <v>23</v>
      </c>
      <c r="E63">
        <v>121</v>
      </c>
      <c r="F63">
        <v>114</v>
      </c>
      <c r="G63" t="s">
        <v>13</v>
      </c>
      <c r="H63" t="s">
        <v>14</v>
      </c>
      <c r="I63" t="s">
        <v>32</v>
      </c>
      <c r="J63" s="2">
        <v>2627.19</v>
      </c>
      <c r="K63" s="3">
        <v>45610</v>
      </c>
      <c r="L63" s="3">
        <v>45623</v>
      </c>
      <c r="M63" t="s">
        <v>23</v>
      </c>
      <c r="N63" t="str">
        <f>IF(Table1[[#This Row],[Age]]&lt;25,"&lt; 25",IF(Table1[[#This Row],[Age]]&lt;36,"25-35",IF(Table1[[#This Row],[Age]]&lt;51,"36-50",IF(Table1[[#This Row],[Age]]&lt;66,"51-65",IF(Table1[[#This Row],[Age]]&gt;65,"&gt;65","none")))))</f>
        <v>25-35</v>
      </c>
      <c r="O63" t="str">
        <f>IF(AND(Table1[[#This Row],[Smoker]]="Yes",Table1[[#This Row],[Diabetic]]="Yes"),"Yes","No")</f>
        <v>No</v>
      </c>
      <c r="P63" t="str">
        <f>IF(OR(Table1[[#This Row],[Smoker]]="Yes",Table1[[#This Row],[Diabetic]]="Yes"),"Yes","No")</f>
        <v>Yes</v>
      </c>
      <c r="Q63" s="1" t="str">
        <f>IF(OR(Table1[[#This Row],[Systolic]]&gt;125,Table1[[#This Row],[Diastolic]]&gt;90),"High","Normal")</f>
        <v>High</v>
      </c>
      <c r="R63" s="1">
        <f>Table1[[#This Row],[Discharge_Date]]-Table1[[#This Row],[Admission_Date]]</f>
        <v>13</v>
      </c>
      <c r="S63" s="1"/>
    </row>
    <row r="64" spans="1:19" x14ac:dyDescent="0.3">
      <c r="A64" t="s">
        <v>85</v>
      </c>
      <c r="B64">
        <v>72</v>
      </c>
      <c r="C64" t="s">
        <v>12</v>
      </c>
      <c r="D64">
        <v>29.2</v>
      </c>
      <c r="E64">
        <v>120</v>
      </c>
      <c r="F64">
        <v>60</v>
      </c>
      <c r="G64" t="s">
        <v>13</v>
      </c>
      <c r="H64" t="s">
        <v>14</v>
      </c>
      <c r="I64" t="s">
        <v>32</v>
      </c>
      <c r="J64" s="2">
        <v>754.8</v>
      </c>
      <c r="K64" s="3">
        <v>45641</v>
      </c>
      <c r="L64" s="3">
        <v>45648</v>
      </c>
      <c r="M64" t="s">
        <v>16</v>
      </c>
      <c r="N64" t="str">
        <f>IF(Table1[[#This Row],[Age]]&lt;25,"&lt; 25",IF(Table1[[#This Row],[Age]]&lt;36,"25-35",IF(Table1[[#This Row],[Age]]&lt;51,"36-50",IF(Table1[[#This Row],[Age]]&lt;66,"51-65",IF(Table1[[#This Row],[Age]]&gt;65,"&gt;65","none")))))</f>
        <v>&gt;65</v>
      </c>
      <c r="O64" t="str">
        <f>IF(AND(Table1[[#This Row],[Smoker]]="Yes",Table1[[#This Row],[Diabetic]]="Yes"),"Yes","No")</f>
        <v>No</v>
      </c>
      <c r="P64" t="str">
        <f>IF(OR(Table1[[#This Row],[Smoker]]="Yes",Table1[[#This Row],[Diabetic]]="Yes"),"Yes","No")</f>
        <v>Yes</v>
      </c>
      <c r="Q64" s="1" t="str">
        <f>IF(OR(Table1[[#This Row],[Systolic]]&gt;125,Table1[[#This Row],[Diastolic]]&gt;90),"High","Normal")</f>
        <v>Normal</v>
      </c>
      <c r="R64" s="1">
        <f>Table1[[#This Row],[Discharge_Date]]-Table1[[#This Row],[Admission_Date]]</f>
        <v>7</v>
      </c>
      <c r="S64" s="1"/>
    </row>
    <row r="65" spans="1:19" x14ac:dyDescent="0.3">
      <c r="A65" t="s">
        <v>86</v>
      </c>
      <c r="B65">
        <v>45</v>
      </c>
      <c r="C65" t="s">
        <v>12</v>
      </c>
      <c r="D65">
        <v>27.6</v>
      </c>
      <c r="E65">
        <v>104</v>
      </c>
      <c r="F65">
        <v>79</v>
      </c>
      <c r="G65" t="s">
        <v>13</v>
      </c>
      <c r="H65" t="s">
        <v>13</v>
      </c>
      <c r="I65" t="s">
        <v>15</v>
      </c>
      <c r="J65" s="2">
        <v>2902.37</v>
      </c>
      <c r="K65" s="3">
        <v>45663</v>
      </c>
      <c r="L65" s="3">
        <v>45677</v>
      </c>
      <c r="M65" t="s">
        <v>23</v>
      </c>
      <c r="N65" t="str">
        <f>IF(Table1[[#This Row],[Age]]&lt;25,"&lt; 25",IF(Table1[[#This Row],[Age]]&lt;36,"25-35",IF(Table1[[#This Row],[Age]]&lt;51,"36-50",IF(Table1[[#This Row],[Age]]&lt;66,"51-65",IF(Table1[[#This Row],[Age]]&gt;65,"&gt;65","none")))))</f>
        <v>36-50</v>
      </c>
      <c r="O65" t="str">
        <f>IF(AND(Table1[[#This Row],[Smoker]]="Yes",Table1[[#This Row],[Diabetic]]="Yes"),"Yes","No")</f>
        <v>No</v>
      </c>
      <c r="P65" t="str">
        <f>IF(OR(Table1[[#This Row],[Smoker]]="Yes",Table1[[#This Row],[Diabetic]]="Yes"),"Yes","No")</f>
        <v>No</v>
      </c>
      <c r="Q65" s="1" t="str">
        <f>IF(OR(Table1[[#This Row],[Systolic]]&gt;125,Table1[[#This Row],[Diastolic]]&gt;90),"High","Normal")</f>
        <v>Normal</v>
      </c>
      <c r="R65" s="1">
        <f>Table1[[#This Row],[Discharge_Date]]-Table1[[#This Row],[Admission_Date]]</f>
        <v>14</v>
      </c>
      <c r="S65" s="1"/>
    </row>
    <row r="66" spans="1:19" x14ac:dyDescent="0.3">
      <c r="A66" t="s">
        <v>87</v>
      </c>
      <c r="B66">
        <v>55</v>
      </c>
      <c r="C66" t="s">
        <v>12</v>
      </c>
      <c r="D66">
        <v>26.7</v>
      </c>
      <c r="E66">
        <v>157</v>
      </c>
      <c r="F66">
        <v>100</v>
      </c>
      <c r="G66" t="s">
        <v>14</v>
      </c>
      <c r="H66" t="s">
        <v>14</v>
      </c>
      <c r="I66" t="s">
        <v>32</v>
      </c>
      <c r="J66" s="2">
        <v>3971.63</v>
      </c>
      <c r="K66" s="3">
        <v>45577</v>
      </c>
      <c r="L66" s="3">
        <v>45582</v>
      </c>
      <c r="M66" t="s">
        <v>23</v>
      </c>
      <c r="N66" t="str">
        <f>IF(Table1[[#This Row],[Age]]&lt;25,"&lt; 25",IF(Table1[[#This Row],[Age]]&lt;36,"25-35",IF(Table1[[#This Row],[Age]]&lt;51,"36-50",IF(Table1[[#This Row],[Age]]&lt;66,"51-65",IF(Table1[[#This Row],[Age]]&gt;65,"&gt;65","none")))))</f>
        <v>51-65</v>
      </c>
      <c r="O66" t="str">
        <f>IF(AND(Table1[[#This Row],[Smoker]]="Yes",Table1[[#This Row],[Diabetic]]="Yes"),"Yes","No")</f>
        <v>Yes</v>
      </c>
      <c r="P66" t="str">
        <f>IF(OR(Table1[[#This Row],[Smoker]]="Yes",Table1[[#This Row],[Diabetic]]="Yes"),"Yes","No")</f>
        <v>Yes</v>
      </c>
      <c r="Q66" s="1" t="str">
        <f>IF(OR(Table1[[#This Row],[Systolic]]&gt;125,Table1[[#This Row],[Diastolic]]&gt;90),"High","Normal")</f>
        <v>High</v>
      </c>
      <c r="R66" s="1">
        <f>Table1[[#This Row],[Discharge_Date]]-Table1[[#This Row],[Admission_Date]]</f>
        <v>5</v>
      </c>
      <c r="S66" s="1"/>
    </row>
    <row r="67" spans="1:19" x14ac:dyDescent="0.3">
      <c r="A67" t="s">
        <v>88</v>
      </c>
      <c r="B67">
        <v>83</v>
      </c>
      <c r="C67" t="s">
        <v>18</v>
      </c>
      <c r="D67">
        <v>33.6</v>
      </c>
      <c r="E67">
        <v>146</v>
      </c>
      <c r="F67">
        <v>114</v>
      </c>
      <c r="G67" t="s">
        <v>13</v>
      </c>
      <c r="H67" t="s">
        <v>13</v>
      </c>
      <c r="I67" t="s">
        <v>21</v>
      </c>
      <c r="J67" s="2">
        <v>2119.0500000000002</v>
      </c>
      <c r="K67" s="3">
        <v>45889</v>
      </c>
      <c r="L67" s="3">
        <v>45897</v>
      </c>
      <c r="M67" t="s">
        <v>16</v>
      </c>
      <c r="N67" t="str">
        <f>IF(Table1[[#This Row],[Age]]&lt;25,"&lt; 25",IF(Table1[[#This Row],[Age]]&lt;36,"25-35",IF(Table1[[#This Row],[Age]]&lt;51,"36-50",IF(Table1[[#This Row],[Age]]&lt;66,"51-65",IF(Table1[[#This Row],[Age]]&gt;65,"&gt;65","none")))))</f>
        <v>&gt;65</v>
      </c>
      <c r="O67" t="str">
        <f>IF(AND(Table1[[#This Row],[Smoker]]="Yes",Table1[[#This Row],[Diabetic]]="Yes"),"Yes","No")</f>
        <v>No</v>
      </c>
      <c r="P67" t="str">
        <f>IF(OR(Table1[[#This Row],[Smoker]]="Yes",Table1[[#This Row],[Diabetic]]="Yes"),"Yes","No")</f>
        <v>No</v>
      </c>
      <c r="Q67" s="1" t="str">
        <f>IF(OR(Table1[[#This Row],[Systolic]]&gt;125,Table1[[#This Row],[Diastolic]]&gt;90),"High","Normal")</f>
        <v>High</v>
      </c>
      <c r="R67" s="1">
        <f>Table1[[#This Row],[Discharge_Date]]-Table1[[#This Row],[Admission_Date]]</f>
        <v>8</v>
      </c>
      <c r="S67" s="1"/>
    </row>
    <row r="68" spans="1:19" x14ac:dyDescent="0.3">
      <c r="A68" t="s">
        <v>89</v>
      </c>
      <c r="B68">
        <v>86</v>
      </c>
      <c r="C68" t="s">
        <v>18</v>
      </c>
      <c r="D68">
        <v>37.4</v>
      </c>
      <c r="E68">
        <v>136</v>
      </c>
      <c r="F68">
        <v>116</v>
      </c>
      <c r="G68" t="s">
        <v>13</v>
      </c>
      <c r="H68" t="s">
        <v>14</v>
      </c>
      <c r="I68" t="s">
        <v>32</v>
      </c>
      <c r="J68" s="2">
        <v>2663.21</v>
      </c>
      <c r="K68" s="3">
        <v>45869</v>
      </c>
      <c r="L68" s="3">
        <v>45871</v>
      </c>
      <c r="M68" t="s">
        <v>23</v>
      </c>
      <c r="N68" t="str">
        <f>IF(Table1[[#This Row],[Age]]&lt;25,"&lt; 25",IF(Table1[[#This Row],[Age]]&lt;36,"25-35",IF(Table1[[#This Row],[Age]]&lt;51,"36-50",IF(Table1[[#This Row],[Age]]&lt;66,"51-65",IF(Table1[[#This Row],[Age]]&gt;65,"&gt;65","none")))))</f>
        <v>&gt;65</v>
      </c>
      <c r="O68" t="str">
        <f>IF(AND(Table1[[#This Row],[Smoker]]="Yes",Table1[[#This Row],[Diabetic]]="Yes"),"Yes","No")</f>
        <v>No</v>
      </c>
      <c r="P68" t="str">
        <f>IF(OR(Table1[[#This Row],[Smoker]]="Yes",Table1[[#This Row],[Diabetic]]="Yes"),"Yes","No")</f>
        <v>Yes</v>
      </c>
      <c r="Q68" s="1" t="str">
        <f>IF(OR(Table1[[#This Row],[Systolic]]&gt;125,Table1[[#This Row],[Diastolic]]&gt;90),"High","Normal")</f>
        <v>High</v>
      </c>
      <c r="R68" s="1">
        <f>Table1[[#This Row],[Discharge_Date]]-Table1[[#This Row],[Admission_Date]]</f>
        <v>2</v>
      </c>
      <c r="S68" s="1"/>
    </row>
    <row r="69" spans="1:19" x14ac:dyDescent="0.3">
      <c r="A69" t="s">
        <v>90</v>
      </c>
      <c r="B69">
        <v>64</v>
      </c>
      <c r="C69" t="s">
        <v>18</v>
      </c>
      <c r="D69">
        <v>29.6</v>
      </c>
      <c r="E69">
        <v>138</v>
      </c>
      <c r="F69">
        <v>90</v>
      </c>
      <c r="G69" t="s">
        <v>13</v>
      </c>
      <c r="H69" t="s">
        <v>14</v>
      </c>
      <c r="I69" t="s">
        <v>34</v>
      </c>
      <c r="J69" s="2">
        <v>4823.18</v>
      </c>
      <c r="K69" s="3">
        <v>45587</v>
      </c>
      <c r="L69" s="3">
        <v>45599</v>
      </c>
      <c r="M69" t="s">
        <v>16</v>
      </c>
      <c r="N69" t="str">
        <f>IF(Table1[[#This Row],[Age]]&lt;25,"&lt; 25",IF(Table1[[#This Row],[Age]]&lt;36,"25-35",IF(Table1[[#This Row],[Age]]&lt;51,"36-50",IF(Table1[[#This Row],[Age]]&lt;66,"51-65",IF(Table1[[#This Row],[Age]]&gt;65,"&gt;65","none")))))</f>
        <v>51-65</v>
      </c>
      <c r="O69" t="str">
        <f>IF(AND(Table1[[#This Row],[Smoker]]="Yes",Table1[[#This Row],[Diabetic]]="Yes"),"Yes","No")</f>
        <v>No</v>
      </c>
      <c r="P69" t="str">
        <f>IF(OR(Table1[[#This Row],[Smoker]]="Yes",Table1[[#This Row],[Diabetic]]="Yes"),"Yes","No")</f>
        <v>Yes</v>
      </c>
      <c r="Q69" s="1" t="str">
        <f>IF(OR(Table1[[#This Row],[Systolic]]&gt;125,Table1[[#This Row],[Diastolic]]&gt;90),"High","Normal")</f>
        <v>High</v>
      </c>
      <c r="R69" s="1">
        <f>Table1[[#This Row],[Discharge_Date]]-Table1[[#This Row],[Admission_Date]]</f>
        <v>12</v>
      </c>
      <c r="S69" s="1"/>
    </row>
    <row r="70" spans="1:19" x14ac:dyDescent="0.3">
      <c r="A70" t="s">
        <v>91</v>
      </c>
      <c r="B70">
        <v>68</v>
      </c>
      <c r="C70" t="s">
        <v>18</v>
      </c>
      <c r="D70">
        <v>31.3</v>
      </c>
      <c r="E70">
        <v>125</v>
      </c>
      <c r="F70">
        <v>65</v>
      </c>
      <c r="G70" t="s">
        <v>13</v>
      </c>
      <c r="H70" t="s">
        <v>14</v>
      </c>
      <c r="I70" t="s">
        <v>34</v>
      </c>
      <c r="J70" s="2">
        <v>4048.37</v>
      </c>
      <c r="K70" s="3">
        <v>45624</v>
      </c>
      <c r="L70" s="3">
        <v>45627</v>
      </c>
      <c r="M70" t="s">
        <v>19</v>
      </c>
      <c r="N70" t="str">
        <f>IF(Table1[[#This Row],[Age]]&lt;25,"&lt; 25",IF(Table1[[#This Row],[Age]]&lt;36,"25-35",IF(Table1[[#This Row],[Age]]&lt;51,"36-50",IF(Table1[[#This Row],[Age]]&lt;66,"51-65",IF(Table1[[#This Row],[Age]]&gt;65,"&gt;65","none")))))</f>
        <v>&gt;65</v>
      </c>
      <c r="O70" t="str">
        <f>IF(AND(Table1[[#This Row],[Smoker]]="Yes",Table1[[#This Row],[Diabetic]]="Yes"),"Yes","No")</f>
        <v>No</v>
      </c>
      <c r="P70" t="str">
        <f>IF(OR(Table1[[#This Row],[Smoker]]="Yes",Table1[[#This Row],[Diabetic]]="Yes"),"Yes","No")</f>
        <v>Yes</v>
      </c>
      <c r="Q70" s="1" t="str">
        <f>IF(OR(Table1[[#This Row],[Systolic]]&gt;125,Table1[[#This Row],[Diastolic]]&gt;90),"High","Normal")</f>
        <v>Normal</v>
      </c>
      <c r="R70" s="1">
        <f>Table1[[#This Row],[Discharge_Date]]-Table1[[#This Row],[Admission_Date]]</f>
        <v>3</v>
      </c>
      <c r="S70" s="1"/>
    </row>
    <row r="71" spans="1:19" x14ac:dyDescent="0.3">
      <c r="A71" t="s">
        <v>92</v>
      </c>
      <c r="B71">
        <v>72</v>
      </c>
      <c r="C71" t="s">
        <v>18</v>
      </c>
      <c r="D71">
        <v>27.7</v>
      </c>
      <c r="E71">
        <v>93</v>
      </c>
      <c r="F71">
        <v>111</v>
      </c>
      <c r="G71" t="s">
        <v>14</v>
      </c>
      <c r="H71" t="s">
        <v>13</v>
      </c>
      <c r="I71" t="s">
        <v>34</v>
      </c>
      <c r="J71" s="2">
        <v>2545.14</v>
      </c>
      <c r="K71" s="3">
        <v>45580</v>
      </c>
      <c r="L71" s="3">
        <v>45584</v>
      </c>
      <c r="M71" t="s">
        <v>16</v>
      </c>
      <c r="N71" t="str">
        <f>IF(Table1[[#This Row],[Age]]&lt;25,"&lt; 25",IF(Table1[[#This Row],[Age]]&lt;36,"25-35",IF(Table1[[#This Row],[Age]]&lt;51,"36-50",IF(Table1[[#This Row],[Age]]&lt;66,"51-65",IF(Table1[[#This Row],[Age]]&gt;65,"&gt;65","none")))))</f>
        <v>&gt;65</v>
      </c>
      <c r="O71" t="str">
        <f>IF(AND(Table1[[#This Row],[Smoker]]="Yes",Table1[[#This Row],[Diabetic]]="Yes"),"Yes","No")</f>
        <v>No</v>
      </c>
      <c r="P71" t="str">
        <f>IF(OR(Table1[[#This Row],[Smoker]]="Yes",Table1[[#This Row],[Diabetic]]="Yes"),"Yes","No")</f>
        <v>Yes</v>
      </c>
      <c r="Q71" s="1" t="str">
        <f>IF(OR(Table1[[#This Row],[Systolic]]&gt;125,Table1[[#This Row],[Diastolic]]&gt;90),"High","Normal")</f>
        <v>High</v>
      </c>
      <c r="R71" s="1">
        <f>Table1[[#This Row],[Discharge_Date]]-Table1[[#This Row],[Admission_Date]]</f>
        <v>4</v>
      </c>
      <c r="S71" s="1"/>
    </row>
    <row r="72" spans="1:19" x14ac:dyDescent="0.3">
      <c r="A72" t="s">
        <v>93</v>
      </c>
      <c r="B72">
        <v>65</v>
      </c>
      <c r="C72" t="s">
        <v>18</v>
      </c>
      <c r="D72">
        <v>26.2</v>
      </c>
      <c r="E72">
        <v>169</v>
      </c>
      <c r="F72">
        <v>66</v>
      </c>
      <c r="G72" t="s">
        <v>14</v>
      </c>
      <c r="H72" t="s">
        <v>14</v>
      </c>
      <c r="I72" t="s">
        <v>15</v>
      </c>
      <c r="J72" s="2">
        <v>2031.32</v>
      </c>
      <c r="K72" s="3">
        <v>45921</v>
      </c>
      <c r="L72" s="3">
        <v>45935</v>
      </c>
      <c r="M72" t="s">
        <v>19</v>
      </c>
      <c r="N72" t="str">
        <f>IF(Table1[[#This Row],[Age]]&lt;25,"&lt; 25",IF(Table1[[#This Row],[Age]]&lt;36,"25-35",IF(Table1[[#This Row],[Age]]&lt;51,"36-50",IF(Table1[[#This Row],[Age]]&lt;66,"51-65",IF(Table1[[#This Row],[Age]]&gt;65,"&gt;65","none")))))</f>
        <v>51-65</v>
      </c>
      <c r="O72" t="str">
        <f>IF(AND(Table1[[#This Row],[Smoker]]="Yes",Table1[[#This Row],[Diabetic]]="Yes"),"Yes","No")</f>
        <v>Yes</v>
      </c>
      <c r="P72" t="str">
        <f>IF(OR(Table1[[#This Row],[Smoker]]="Yes",Table1[[#This Row],[Diabetic]]="Yes"),"Yes","No")</f>
        <v>Yes</v>
      </c>
      <c r="Q72" s="1" t="str">
        <f>IF(OR(Table1[[#This Row],[Systolic]]&gt;125,Table1[[#This Row],[Diastolic]]&gt;90),"High","Normal")</f>
        <v>High</v>
      </c>
      <c r="R72" s="1">
        <f>Table1[[#This Row],[Discharge_Date]]-Table1[[#This Row],[Admission_Date]]</f>
        <v>14</v>
      </c>
      <c r="S72" s="1"/>
    </row>
    <row r="73" spans="1:19" x14ac:dyDescent="0.3">
      <c r="A73" t="s">
        <v>94</v>
      </c>
      <c r="B73">
        <v>62</v>
      </c>
      <c r="C73" t="s">
        <v>18</v>
      </c>
      <c r="D73">
        <v>31.6</v>
      </c>
      <c r="E73">
        <v>174</v>
      </c>
      <c r="F73">
        <v>108</v>
      </c>
      <c r="G73" t="s">
        <v>14</v>
      </c>
      <c r="H73" t="s">
        <v>14</v>
      </c>
      <c r="I73" t="s">
        <v>32</v>
      </c>
      <c r="J73" s="2">
        <v>542.91999999999996</v>
      </c>
      <c r="K73" s="3">
        <v>45634</v>
      </c>
      <c r="L73" s="3">
        <v>45642</v>
      </c>
      <c r="M73" t="s">
        <v>19</v>
      </c>
      <c r="N73" t="str">
        <f>IF(Table1[[#This Row],[Age]]&lt;25,"&lt; 25",IF(Table1[[#This Row],[Age]]&lt;36,"25-35",IF(Table1[[#This Row],[Age]]&lt;51,"36-50",IF(Table1[[#This Row],[Age]]&lt;66,"51-65",IF(Table1[[#This Row],[Age]]&gt;65,"&gt;65","none")))))</f>
        <v>51-65</v>
      </c>
      <c r="O73" t="str">
        <f>IF(AND(Table1[[#This Row],[Smoker]]="Yes",Table1[[#This Row],[Diabetic]]="Yes"),"Yes","No")</f>
        <v>Yes</v>
      </c>
      <c r="P73" t="str">
        <f>IF(OR(Table1[[#This Row],[Smoker]]="Yes",Table1[[#This Row],[Diabetic]]="Yes"),"Yes","No")</f>
        <v>Yes</v>
      </c>
      <c r="Q73" s="1" t="str">
        <f>IF(OR(Table1[[#This Row],[Systolic]]&gt;125,Table1[[#This Row],[Diastolic]]&gt;90),"High","Normal")</f>
        <v>High</v>
      </c>
      <c r="R73" s="1">
        <f>Table1[[#This Row],[Discharge_Date]]-Table1[[#This Row],[Admission_Date]]</f>
        <v>8</v>
      </c>
      <c r="S73" s="1"/>
    </row>
    <row r="74" spans="1:19" x14ac:dyDescent="0.3">
      <c r="A74" t="s">
        <v>95</v>
      </c>
      <c r="B74">
        <v>88</v>
      </c>
      <c r="C74" t="s">
        <v>18</v>
      </c>
      <c r="D74">
        <v>39.299999999999997</v>
      </c>
      <c r="E74">
        <v>178</v>
      </c>
      <c r="F74">
        <v>79</v>
      </c>
      <c r="G74" t="s">
        <v>13</v>
      </c>
      <c r="H74" t="s">
        <v>14</v>
      </c>
      <c r="I74" t="s">
        <v>32</v>
      </c>
      <c r="J74" s="2">
        <v>3056.72</v>
      </c>
      <c r="K74" s="3">
        <v>45886</v>
      </c>
      <c r="L74" s="3">
        <v>45894</v>
      </c>
      <c r="M74" t="s">
        <v>16</v>
      </c>
      <c r="N74" t="str">
        <f>IF(Table1[[#This Row],[Age]]&lt;25,"&lt; 25",IF(Table1[[#This Row],[Age]]&lt;36,"25-35",IF(Table1[[#This Row],[Age]]&lt;51,"36-50",IF(Table1[[#This Row],[Age]]&lt;66,"51-65",IF(Table1[[#This Row],[Age]]&gt;65,"&gt;65","none")))))</f>
        <v>&gt;65</v>
      </c>
      <c r="O74" t="str">
        <f>IF(AND(Table1[[#This Row],[Smoker]]="Yes",Table1[[#This Row],[Diabetic]]="Yes"),"Yes","No")</f>
        <v>No</v>
      </c>
      <c r="P74" t="str">
        <f>IF(OR(Table1[[#This Row],[Smoker]]="Yes",Table1[[#This Row],[Diabetic]]="Yes"),"Yes","No")</f>
        <v>Yes</v>
      </c>
      <c r="Q74" s="1" t="str">
        <f>IF(OR(Table1[[#This Row],[Systolic]]&gt;125,Table1[[#This Row],[Diastolic]]&gt;90),"High","Normal")</f>
        <v>High</v>
      </c>
      <c r="R74" s="1">
        <f>Table1[[#This Row],[Discharge_Date]]-Table1[[#This Row],[Admission_Date]]</f>
        <v>8</v>
      </c>
      <c r="S74" s="1"/>
    </row>
    <row r="75" spans="1:19" x14ac:dyDescent="0.3">
      <c r="A75" t="s">
        <v>96</v>
      </c>
      <c r="B75">
        <v>50</v>
      </c>
      <c r="C75" t="s">
        <v>12</v>
      </c>
      <c r="D75">
        <v>27.4</v>
      </c>
      <c r="E75">
        <v>122</v>
      </c>
      <c r="F75">
        <v>98</v>
      </c>
      <c r="G75" t="s">
        <v>14</v>
      </c>
      <c r="H75" t="s">
        <v>14</v>
      </c>
      <c r="I75" t="s">
        <v>15</v>
      </c>
      <c r="J75" s="2">
        <v>1232.93</v>
      </c>
      <c r="K75" s="3">
        <v>45889</v>
      </c>
      <c r="L75" s="3">
        <v>45890</v>
      </c>
      <c r="M75" t="s">
        <v>19</v>
      </c>
      <c r="N75" t="str">
        <f>IF(Table1[[#This Row],[Age]]&lt;25,"&lt; 25",IF(Table1[[#This Row],[Age]]&lt;36,"25-35",IF(Table1[[#This Row],[Age]]&lt;51,"36-50",IF(Table1[[#This Row],[Age]]&lt;66,"51-65",IF(Table1[[#This Row],[Age]]&gt;65,"&gt;65","none")))))</f>
        <v>36-50</v>
      </c>
      <c r="O75" t="str">
        <f>IF(AND(Table1[[#This Row],[Smoker]]="Yes",Table1[[#This Row],[Diabetic]]="Yes"),"Yes","No")</f>
        <v>Yes</v>
      </c>
      <c r="P75" t="str">
        <f>IF(OR(Table1[[#This Row],[Smoker]]="Yes",Table1[[#This Row],[Diabetic]]="Yes"),"Yes","No")</f>
        <v>Yes</v>
      </c>
      <c r="Q75" s="1" t="str">
        <f>IF(OR(Table1[[#This Row],[Systolic]]&gt;125,Table1[[#This Row],[Diastolic]]&gt;90),"High","Normal")</f>
        <v>High</v>
      </c>
      <c r="R75" s="1">
        <f>Table1[[#This Row],[Discharge_Date]]-Table1[[#This Row],[Admission_Date]]</f>
        <v>1</v>
      </c>
      <c r="S75" s="1"/>
    </row>
    <row r="76" spans="1:19" x14ac:dyDescent="0.3">
      <c r="A76" t="s">
        <v>97</v>
      </c>
      <c r="B76">
        <v>54</v>
      </c>
      <c r="C76" t="s">
        <v>18</v>
      </c>
      <c r="D76">
        <v>32.4</v>
      </c>
      <c r="E76">
        <v>136</v>
      </c>
      <c r="F76">
        <v>117</v>
      </c>
      <c r="G76" t="s">
        <v>13</v>
      </c>
      <c r="H76" t="s">
        <v>14</v>
      </c>
      <c r="I76" t="s">
        <v>15</v>
      </c>
      <c r="J76" s="2">
        <v>4046.97</v>
      </c>
      <c r="K76" s="3">
        <v>45934</v>
      </c>
      <c r="L76" s="3">
        <v>45946</v>
      </c>
      <c r="M76" t="s">
        <v>23</v>
      </c>
      <c r="N76" t="str">
        <f>IF(Table1[[#This Row],[Age]]&lt;25,"&lt; 25",IF(Table1[[#This Row],[Age]]&lt;36,"25-35",IF(Table1[[#This Row],[Age]]&lt;51,"36-50",IF(Table1[[#This Row],[Age]]&lt;66,"51-65",IF(Table1[[#This Row],[Age]]&gt;65,"&gt;65","none")))))</f>
        <v>51-65</v>
      </c>
      <c r="O76" t="str">
        <f>IF(AND(Table1[[#This Row],[Smoker]]="Yes",Table1[[#This Row],[Diabetic]]="Yes"),"Yes","No")</f>
        <v>No</v>
      </c>
      <c r="P76" t="str">
        <f>IF(OR(Table1[[#This Row],[Smoker]]="Yes",Table1[[#This Row],[Diabetic]]="Yes"),"Yes","No")</f>
        <v>Yes</v>
      </c>
      <c r="Q76" s="1" t="str">
        <f>IF(OR(Table1[[#This Row],[Systolic]]&gt;125,Table1[[#This Row],[Diastolic]]&gt;90),"High","Normal")</f>
        <v>High</v>
      </c>
      <c r="R76" s="1">
        <f>Table1[[#This Row],[Discharge_Date]]-Table1[[#This Row],[Admission_Date]]</f>
        <v>12</v>
      </c>
      <c r="S76" s="1"/>
    </row>
    <row r="77" spans="1:19" x14ac:dyDescent="0.3">
      <c r="A77" t="s">
        <v>98</v>
      </c>
      <c r="B77">
        <v>56</v>
      </c>
      <c r="C77" t="s">
        <v>18</v>
      </c>
      <c r="D77">
        <v>21.1</v>
      </c>
      <c r="E77">
        <v>123</v>
      </c>
      <c r="F77">
        <v>67</v>
      </c>
      <c r="G77" t="s">
        <v>13</v>
      </c>
      <c r="H77" t="s">
        <v>14</v>
      </c>
      <c r="I77" t="s">
        <v>34</v>
      </c>
      <c r="J77" s="2">
        <v>4838.83</v>
      </c>
      <c r="K77" s="3">
        <v>45924</v>
      </c>
      <c r="L77" s="3">
        <v>45928</v>
      </c>
      <c r="M77" t="s">
        <v>23</v>
      </c>
      <c r="N77" t="str">
        <f>IF(Table1[[#This Row],[Age]]&lt;25,"&lt; 25",IF(Table1[[#This Row],[Age]]&lt;36,"25-35",IF(Table1[[#This Row],[Age]]&lt;51,"36-50",IF(Table1[[#This Row],[Age]]&lt;66,"51-65",IF(Table1[[#This Row],[Age]]&gt;65,"&gt;65","none")))))</f>
        <v>51-65</v>
      </c>
      <c r="O77" t="str">
        <f>IF(AND(Table1[[#This Row],[Smoker]]="Yes",Table1[[#This Row],[Diabetic]]="Yes"),"Yes","No")</f>
        <v>No</v>
      </c>
      <c r="P77" t="str">
        <f>IF(OR(Table1[[#This Row],[Smoker]]="Yes",Table1[[#This Row],[Diabetic]]="Yes"),"Yes","No")</f>
        <v>Yes</v>
      </c>
      <c r="Q77" s="1" t="str">
        <f>IF(OR(Table1[[#This Row],[Systolic]]&gt;125,Table1[[#This Row],[Diastolic]]&gt;90),"High","Normal")</f>
        <v>Normal</v>
      </c>
      <c r="R77" s="1">
        <f>Table1[[#This Row],[Discharge_Date]]-Table1[[#This Row],[Admission_Date]]</f>
        <v>4</v>
      </c>
      <c r="S77" s="1"/>
    </row>
    <row r="78" spans="1:19" x14ac:dyDescent="0.3">
      <c r="A78" t="s">
        <v>99</v>
      </c>
      <c r="B78">
        <v>67</v>
      </c>
      <c r="C78" t="s">
        <v>12</v>
      </c>
      <c r="D78">
        <v>18.3</v>
      </c>
      <c r="E78">
        <v>141</v>
      </c>
      <c r="F78">
        <v>114</v>
      </c>
      <c r="G78" t="s">
        <v>13</v>
      </c>
      <c r="H78" t="s">
        <v>13</v>
      </c>
      <c r="I78" t="s">
        <v>34</v>
      </c>
      <c r="J78" s="2">
        <v>997.35</v>
      </c>
      <c r="K78" s="3">
        <v>45824</v>
      </c>
      <c r="L78" s="3">
        <v>45836</v>
      </c>
      <c r="M78" t="s">
        <v>19</v>
      </c>
      <c r="N78" t="str">
        <f>IF(Table1[[#This Row],[Age]]&lt;25,"&lt; 25",IF(Table1[[#This Row],[Age]]&lt;36,"25-35",IF(Table1[[#This Row],[Age]]&lt;51,"36-50",IF(Table1[[#This Row],[Age]]&lt;66,"51-65",IF(Table1[[#This Row],[Age]]&gt;65,"&gt;65","none")))))</f>
        <v>&gt;65</v>
      </c>
      <c r="O78" t="str">
        <f>IF(AND(Table1[[#This Row],[Smoker]]="Yes",Table1[[#This Row],[Diabetic]]="Yes"),"Yes","No")</f>
        <v>No</v>
      </c>
      <c r="P78" t="str">
        <f>IF(OR(Table1[[#This Row],[Smoker]]="Yes",Table1[[#This Row],[Diabetic]]="Yes"),"Yes","No")</f>
        <v>No</v>
      </c>
      <c r="Q78" s="1" t="str">
        <f>IF(OR(Table1[[#This Row],[Systolic]]&gt;125,Table1[[#This Row],[Diastolic]]&gt;90),"High","Normal")</f>
        <v>High</v>
      </c>
      <c r="R78" s="1">
        <f>Table1[[#This Row],[Discharge_Date]]-Table1[[#This Row],[Admission_Date]]</f>
        <v>12</v>
      </c>
      <c r="S78" s="1"/>
    </row>
    <row r="79" spans="1:19" x14ac:dyDescent="0.3">
      <c r="A79" t="s">
        <v>100</v>
      </c>
      <c r="B79">
        <v>62</v>
      </c>
      <c r="C79" t="s">
        <v>18</v>
      </c>
      <c r="D79">
        <v>21.1</v>
      </c>
      <c r="E79">
        <v>92</v>
      </c>
      <c r="F79">
        <v>119</v>
      </c>
      <c r="G79" t="s">
        <v>13</v>
      </c>
      <c r="H79" t="s">
        <v>13</v>
      </c>
      <c r="I79" t="s">
        <v>34</v>
      </c>
      <c r="J79" s="2">
        <v>712.87</v>
      </c>
      <c r="K79" s="3">
        <v>45722</v>
      </c>
      <c r="L79" s="3">
        <v>45735</v>
      </c>
      <c r="M79" t="s">
        <v>19</v>
      </c>
      <c r="N79" t="str">
        <f>IF(Table1[[#This Row],[Age]]&lt;25,"&lt; 25",IF(Table1[[#This Row],[Age]]&lt;36,"25-35",IF(Table1[[#This Row],[Age]]&lt;51,"36-50",IF(Table1[[#This Row],[Age]]&lt;66,"51-65",IF(Table1[[#This Row],[Age]]&gt;65,"&gt;65","none")))))</f>
        <v>51-65</v>
      </c>
      <c r="O79" t="str">
        <f>IF(AND(Table1[[#This Row],[Smoker]]="Yes",Table1[[#This Row],[Diabetic]]="Yes"),"Yes","No")</f>
        <v>No</v>
      </c>
      <c r="P79" t="str">
        <f>IF(OR(Table1[[#This Row],[Smoker]]="Yes",Table1[[#This Row],[Diabetic]]="Yes"),"Yes","No")</f>
        <v>No</v>
      </c>
      <c r="Q79" s="1" t="str">
        <f>IF(OR(Table1[[#This Row],[Systolic]]&gt;125,Table1[[#This Row],[Diastolic]]&gt;90),"High","Normal")</f>
        <v>High</v>
      </c>
      <c r="R79" s="1">
        <f>Table1[[#This Row],[Discharge_Date]]-Table1[[#This Row],[Admission_Date]]</f>
        <v>13</v>
      </c>
      <c r="S79" s="1"/>
    </row>
    <row r="80" spans="1:19" x14ac:dyDescent="0.3">
      <c r="A80" t="s">
        <v>101</v>
      </c>
      <c r="B80">
        <v>82</v>
      </c>
      <c r="C80" t="s">
        <v>12</v>
      </c>
      <c r="D80">
        <v>20.8</v>
      </c>
      <c r="E80">
        <v>120</v>
      </c>
      <c r="F80">
        <v>93</v>
      </c>
      <c r="G80" t="s">
        <v>13</v>
      </c>
      <c r="H80" t="s">
        <v>14</v>
      </c>
      <c r="I80" t="s">
        <v>25</v>
      </c>
      <c r="J80" s="2">
        <v>4994.04</v>
      </c>
      <c r="K80" s="3">
        <v>45830</v>
      </c>
      <c r="L80" s="3">
        <v>45832</v>
      </c>
      <c r="M80" t="s">
        <v>19</v>
      </c>
      <c r="N80" t="str">
        <f>IF(Table1[[#This Row],[Age]]&lt;25,"&lt; 25",IF(Table1[[#This Row],[Age]]&lt;36,"25-35",IF(Table1[[#This Row],[Age]]&lt;51,"36-50",IF(Table1[[#This Row],[Age]]&lt;66,"51-65",IF(Table1[[#This Row],[Age]]&gt;65,"&gt;65","none")))))</f>
        <v>&gt;65</v>
      </c>
      <c r="O80" t="str">
        <f>IF(AND(Table1[[#This Row],[Smoker]]="Yes",Table1[[#This Row],[Diabetic]]="Yes"),"Yes","No")</f>
        <v>No</v>
      </c>
      <c r="P80" t="str">
        <f>IF(OR(Table1[[#This Row],[Smoker]]="Yes",Table1[[#This Row],[Diabetic]]="Yes"),"Yes","No")</f>
        <v>Yes</v>
      </c>
      <c r="Q80" s="1" t="str">
        <f>IF(OR(Table1[[#This Row],[Systolic]]&gt;125,Table1[[#This Row],[Diastolic]]&gt;90),"High","Normal")</f>
        <v>High</v>
      </c>
      <c r="R80" s="1">
        <f>Table1[[#This Row],[Discharge_Date]]-Table1[[#This Row],[Admission_Date]]</f>
        <v>2</v>
      </c>
      <c r="S80" s="1"/>
    </row>
    <row r="81" spans="1:19" x14ac:dyDescent="0.3">
      <c r="A81" t="s">
        <v>102</v>
      </c>
      <c r="B81">
        <v>44</v>
      </c>
      <c r="C81" t="s">
        <v>18</v>
      </c>
      <c r="D81">
        <v>26.4</v>
      </c>
      <c r="E81">
        <v>177</v>
      </c>
      <c r="F81">
        <v>119</v>
      </c>
      <c r="G81" t="s">
        <v>13</v>
      </c>
      <c r="H81" t="s">
        <v>14</v>
      </c>
      <c r="I81" t="s">
        <v>34</v>
      </c>
      <c r="J81" s="2">
        <v>4452.87</v>
      </c>
      <c r="K81" s="3">
        <v>45613</v>
      </c>
      <c r="L81" s="3">
        <v>45626</v>
      </c>
      <c r="M81" t="s">
        <v>19</v>
      </c>
      <c r="N81" t="str">
        <f>IF(Table1[[#This Row],[Age]]&lt;25,"&lt; 25",IF(Table1[[#This Row],[Age]]&lt;36,"25-35",IF(Table1[[#This Row],[Age]]&lt;51,"36-50",IF(Table1[[#This Row],[Age]]&lt;66,"51-65",IF(Table1[[#This Row],[Age]]&gt;65,"&gt;65","none")))))</f>
        <v>36-50</v>
      </c>
      <c r="O81" t="str">
        <f>IF(AND(Table1[[#This Row],[Smoker]]="Yes",Table1[[#This Row],[Diabetic]]="Yes"),"Yes","No")</f>
        <v>No</v>
      </c>
      <c r="P81" t="str">
        <f>IF(OR(Table1[[#This Row],[Smoker]]="Yes",Table1[[#This Row],[Diabetic]]="Yes"),"Yes","No")</f>
        <v>Yes</v>
      </c>
      <c r="Q81" s="1" t="str">
        <f>IF(OR(Table1[[#This Row],[Systolic]]&gt;125,Table1[[#This Row],[Diastolic]]&gt;90),"High","Normal")</f>
        <v>High</v>
      </c>
      <c r="R81" s="1">
        <f>Table1[[#This Row],[Discharge_Date]]-Table1[[#This Row],[Admission_Date]]</f>
        <v>13</v>
      </c>
      <c r="S81" s="1"/>
    </row>
    <row r="82" spans="1:19" x14ac:dyDescent="0.3">
      <c r="A82" t="s">
        <v>103</v>
      </c>
      <c r="B82">
        <v>22</v>
      </c>
      <c r="C82" t="s">
        <v>18</v>
      </c>
      <c r="D82">
        <v>23.6</v>
      </c>
      <c r="E82">
        <v>127</v>
      </c>
      <c r="F82">
        <v>71</v>
      </c>
      <c r="G82" t="s">
        <v>13</v>
      </c>
      <c r="H82" t="s">
        <v>13</v>
      </c>
      <c r="I82" t="s">
        <v>32</v>
      </c>
      <c r="J82" s="2">
        <v>3456.61</v>
      </c>
      <c r="K82" s="3">
        <v>45852</v>
      </c>
      <c r="L82" s="3">
        <v>45866</v>
      </c>
      <c r="M82" t="s">
        <v>19</v>
      </c>
      <c r="N82" t="str">
        <f>IF(Table1[[#This Row],[Age]]&lt;25,"&lt; 25",IF(Table1[[#This Row],[Age]]&lt;36,"25-35",IF(Table1[[#This Row],[Age]]&lt;51,"36-50",IF(Table1[[#This Row],[Age]]&lt;66,"51-65",IF(Table1[[#This Row],[Age]]&gt;65,"&gt;65","none")))))</f>
        <v>&lt; 25</v>
      </c>
      <c r="O82" t="str">
        <f>IF(AND(Table1[[#This Row],[Smoker]]="Yes",Table1[[#This Row],[Diabetic]]="Yes"),"Yes","No")</f>
        <v>No</v>
      </c>
      <c r="P82" t="str">
        <f>IF(OR(Table1[[#This Row],[Smoker]]="Yes",Table1[[#This Row],[Diabetic]]="Yes"),"Yes","No")</f>
        <v>No</v>
      </c>
      <c r="Q82" s="1" t="str">
        <f>IF(OR(Table1[[#This Row],[Systolic]]&gt;125,Table1[[#This Row],[Diastolic]]&gt;90),"High","Normal")</f>
        <v>High</v>
      </c>
      <c r="R82" s="1">
        <f>Table1[[#This Row],[Discharge_Date]]-Table1[[#This Row],[Admission_Date]]</f>
        <v>14</v>
      </c>
      <c r="S82" s="1"/>
    </row>
    <row r="83" spans="1:19" x14ac:dyDescent="0.3">
      <c r="A83" t="s">
        <v>104</v>
      </c>
      <c r="B83">
        <v>33</v>
      </c>
      <c r="C83" t="s">
        <v>18</v>
      </c>
      <c r="D83">
        <v>18.899999999999999</v>
      </c>
      <c r="E83">
        <v>121</v>
      </c>
      <c r="F83">
        <v>120</v>
      </c>
      <c r="G83" t="s">
        <v>13</v>
      </c>
      <c r="H83" t="s">
        <v>14</v>
      </c>
      <c r="I83" t="s">
        <v>15</v>
      </c>
      <c r="J83" s="2">
        <v>3457.75</v>
      </c>
      <c r="K83" s="3">
        <v>45756</v>
      </c>
      <c r="L83" s="3">
        <v>45766</v>
      </c>
      <c r="M83" t="s">
        <v>23</v>
      </c>
      <c r="N83" t="str">
        <f>IF(Table1[[#This Row],[Age]]&lt;25,"&lt; 25",IF(Table1[[#This Row],[Age]]&lt;36,"25-35",IF(Table1[[#This Row],[Age]]&lt;51,"36-50",IF(Table1[[#This Row],[Age]]&lt;66,"51-65",IF(Table1[[#This Row],[Age]]&gt;65,"&gt;65","none")))))</f>
        <v>25-35</v>
      </c>
      <c r="O83" t="str">
        <f>IF(AND(Table1[[#This Row],[Smoker]]="Yes",Table1[[#This Row],[Diabetic]]="Yes"),"Yes","No")</f>
        <v>No</v>
      </c>
      <c r="P83" t="str">
        <f>IF(OR(Table1[[#This Row],[Smoker]]="Yes",Table1[[#This Row],[Diabetic]]="Yes"),"Yes","No")</f>
        <v>Yes</v>
      </c>
      <c r="Q83" s="1" t="str">
        <f>IF(OR(Table1[[#This Row],[Systolic]]&gt;125,Table1[[#This Row],[Diastolic]]&gt;90),"High","Normal")</f>
        <v>High</v>
      </c>
      <c r="R83" s="1">
        <f>Table1[[#This Row],[Discharge_Date]]-Table1[[#This Row],[Admission_Date]]</f>
        <v>10</v>
      </c>
      <c r="S83" s="1"/>
    </row>
    <row r="84" spans="1:19" x14ac:dyDescent="0.3">
      <c r="A84" t="s">
        <v>105</v>
      </c>
      <c r="B84">
        <v>52</v>
      </c>
      <c r="C84" t="s">
        <v>12</v>
      </c>
      <c r="D84">
        <v>32.4</v>
      </c>
      <c r="E84">
        <v>180</v>
      </c>
      <c r="F84">
        <v>95</v>
      </c>
      <c r="G84" t="s">
        <v>14</v>
      </c>
      <c r="H84" t="s">
        <v>13</v>
      </c>
      <c r="I84" t="s">
        <v>32</v>
      </c>
      <c r="J84" s="2">
        <v>1055.1099999999999</v>
      </c>
      <c r="K84" s="3">
        <v>45819</v>
      </c>
      <c r="L84" s="3">
        <v>45823</v>
      </c>
      <c r="M84" t="s">
        <v>23</v>
      </c>
      <c r="N84" t="str">
        <f>IF(Table1[[#This Row],[Age]]&lt;25,"&lt; 25",IF(Table1[[#This Row],[Age]]&lt;36,"25-35",IF(Table1[[#This Row],[Age]]&lt;51,"36-50",IF(Table1[[#This Row],[Age]]&lt;66,"51-65",IF(Table1[[#This Row],[Age]]&gt;65,"&gt;65","none")))))</f>
        <v>51-65</v>
      </c>
      <c r="O84" t="str">
        <f>IF(AND(Table1[[#This Row],[Smoker]]="Yes",Table1[[#This Row],[Diabetic]]="Yes"),"Yes","No")</f>
        <v>No</v>
      </c>
      <c r="P84" t="str">
        <f>IF(OR(Table1[[#This Row],[Smoker]]="Yes",Table1[[#This Row],[Diabetic]]="Yes"),"Yes","No")</f>
        <v>Yes</v>
      </c>
      <c r="Q84" s="1" t="str">
        <f>IF(OR(Table1[[#This Row],[Systolic]]&gt;125,Table1[[#This Row],[Diastolic]]&gt;90),"High","Normal")</f>
        <v>High</v>
      </c>
      <c r="R84" s="1">
        <f>Table1[[#This Row],[Discharge_Date]]-Table1[[#This Row],[Admission_Date]]</f>
        <v>4</v>
      </c>
      <c r="S84" s="1"/>
    </row>
    <row r="85" spans="1:19" x14ac:dyDescent="0.3">
      <c r="A85" t="s">
        <v>106</v>
      </c>
      <c r="B85">
        <v>76</v>
      </c>
      <c r="C85" t="s">
        <v>18</v>
      </c>
      <c r="D85">
        <v>38</v>
      </c>
      <c r="E85">
        <v>112</v>
      </c>
      <c r="F85">
        <v>112</v>
      </c>
      <c r="G85" t="s">
        <v>14</v>
      </c>
      <c r="H85" t="s">
        <v>13</v>
      </c>
      <c r="I85" t="s">
        <v>21</v>
      </c>
      <c r="J85" s="2">
        <v>4600.83</v>
      </c>
      <c r="K85" s="3">
        <v>45817</v>
      </c>
      <c r="L85" s="3">
        <v>45830</v>
      </c>
      <c r="M85" t="s">
        <v>19</v>
      </c>
      <c r="N85" t="str">
        <f>IF(Table1[[#This Row],[Age]]&lt;25,"&lt; 25",IF(Table1[[#This Row],[Age]]&lt;36,"25-35",IF(Table1[[#This Row],[Age]]&lt;51,"36-50",IF(Table1[[#This Row],[Age]]&lt;66,"51-65",IF(Table1[[#This Row],[Age]]&gt;65,"&gt;65","none")))))</f>
        <v>&gt;65</v>
      </c>
      <c r="O85" t="str">
        <f>IF(AND(Table1[[#This Row],[Smoker]]="Yes",Table1[[#This Row],[Diabetic]]="Yes"),"Yes","No")</f>
        <v>No</v>
      </c>
      <c r="P85" t="str">
        <f>IF(OR(Table1[[#This Row],[Smoker]]="Yes",Table1[[#This Row],[Diabetic]]="Yes"),"Yes","No")</f>
        <v>Yes</v>
      </c>
      <c r="Q85" s="1" t="str">
        <f>IF(OR(Table1[[#This Row],[Systolic]]&gt;125,Table1[[#This Row],[Diastolic]]&gt;90),"High","Normal")</f>
        <v>High</v>
      </c>
      <c r="R85" s="1">
        <f>Table1[[#This Row],[Discharge_Date]]-Table1[[#This Row],[Admission_Date]]</f>
        <v>13</v>
      </c>
      <c r="S85" s="1"/>
    </row>
    <row r="86" spans="1:19" x14ac:dyDescent="0.3">
      <c r="A86" t="s">
        <v>107</v>
      </c>
      <c r="B86">
        <v>77</v>
      </c>
      <c r="C86" t="s">
        <v>12</v>
      </c>
      <c r="D86">
        <v>25.7</v>
      </c>
      <c r="E86">
        <v>151</v>
      </c>
      <c r="F86">
        <v>96</v>
      </c>
      <c r="G86" t="s">
        <v>13</v>
      </c>
      <c r="H86" t="s">
        <v>14</v>
      </c>
      <c r="I86" t="s">
        <v>21</v>
      </c>
      <c r="J86" s="2">
        <v>1303.07</v>
      </c>
      <c r="K86" s="3">
        <v>45758</v>
      </c>
      <c r="L86" s="3">
        <v>45768</v>
      </c>
      <c r="M86" t="s">
        <v>23</v>
      </c>
      <c r="N86" t="str">
        <f>IF(Table1[[#This Row],[Age]]&lt;25,"&lt; 25",IF(Table1[[#This Row],[Age]]&lt;36,"25-35",IF(Table1[[#This Row],[Age]]&lt;51,"36-50",IF(Table1[[#This Row],[Age]]&lt;66,"51-65",IF(Table1[[#This Row],[Age]]&gt;65,"&gt;65","none")))))</f>
        <v>&gt;65</v>
      </c>
      <c r="O86" t="str">
        <f>IF(AND(Table1[[#This Row],[Smoker]]="Yes",Table1[[#This Row],[Diabetic]]="Yes"),"Yes","No")</f>
        <v>No</v>
      </c>
      <c r="P86" t="str">
        <f>IF(OR(Table1[[#This Row],[Smoker]]="Yes",Table1[[#This Row],[Diabetic]]="Yes"),"Yes","No")</f>
        <v>Yes</v>
      </c>
      <c r="Q86" s="1" t="str">
        <f>IF(OR(Table1[[#This Row],[Systolic]]&gt;125,Table1[[#This Row],[Diastolic]]&gt;90),"High","Normal")</f>
        <v>High</v>
      </c>
      <c r="R86" s="1">
        <f>Table1[[#This Row],[Discharge_Date]]-Table1[[#This Row],[Admission_Date]]</f>
        <v>10</v>
      </c>
      <c r="S86" s="1"/>
    </row>
    <row r="87" spans="1:19" x14ac:dyDescent="0.3">
      <c r="A87" t="s">
        <v>108</v>
      </c>
      <c r="B87">
        <v>82</v>
      </c>
      <c r="C87" t="s">
        <v>18</v>
      </c>
      <c r="D87">
        <v>26.9</v>
      </c>
      <c r="E87">
        <v>129</v>
      </c>
      <c r="F87">
        <v>96</v>
      </c>
      <c r="G87" t="s">
        <v>13</v>
      </c>
      <c r="H87" t="s">
        <v>14</v>
      </c>
      <c r="I87" t="s">
        <v>34</v>
      </c>
      <c r="J87" s="2">
        <v>1876.69</v>
      </c>
      <c r="K87" s="3">
        <v>45672</v>
      </c>
      <c r="L87" s="3">
        <v>45678</v>
      </c>
      <c r="M87" t="s">
        <v>16</v>
      </c>
      <c r="N87" t="str">
        <f>IF(Table1[[#This Row],[Age]]&lt;25,"&lt; 25",IF(Table1[[#This Row],[Age]]&lt;36,"25-35",IF(Table1[[#This Row],[Age]]&lt;51,"36-50",IF(Table1[[#This Row],[Age]]&lt;66,"51-65",IF(Table1[[#This Row],[Age]]&gt;65,"&gt;65","none")))))</f>
        <v>&gt;65</v>
      </c>
      <c r="O87" t="str">
        <f>IF(AND(Table1[[#This Row],[Smoker]]="Yes",Table1[[#This Row],[Diabetic]]="Yes"),"Yes","No")</f>
        <v>No</v>
      </c>
      <c r="P87" t="str">
        <f>IF(OR(Table1[[#This Row],[Smoker]]="Yes",Table1[[#This Row],[Diabetic]]="Yes"),"Yes","No")</f>
        <v>Yes</v>
      </c>
      <c r="Q87" s="1" t="str">
        <f>IF(OR(Table1[[#This Row],[Systolic]]&gt;125,Table1[[#This Row],[Diastolic]]&gt;90),"High","Normal")</f>
        <v>High</v>
      </c>
      <c r="R87" s="1">
        <f>Table1[[#This Row],[Discharge_Date]]-Table1[[#This Row],[Admission_Date]]</f>
        <v>6</v>
      </c>
      <c r="S87" s="1"/>
    </row>
    <row r="88" spans="1:19" x14ac:dyDescent="0.3">
      <c r="A88" t="s">
        <v>109</v>
      </c>
      <c r="B88">
        <v>53</v>
      </c>
      <c r="C88" t="s">
        <v>18</v>
      </c>
      <c r="D88">
        <v>19</v>
      </c>
      <c r="E88">
        <v>176</v>
      </c>
      <c r="F88">
        <v>110</v>
      </c>
      <c r="G88" t="s">
        <v>14</v>
      </c>
      <c r="H88" t="s">
        <v>14</v>
      </c>
      <c r="I88" t="s">
        <v>21</v>
      </c>
      <c r="J88" s="2">
        <v>150.29</v>
      </c>
      <c r="K88" s="3">
        <v>45807</v>
      </c>
      <c r="L88" s="3">
        <v>45812</v>
      </c>
      <c r="M88" t="s">
        <v>16</v>
      </c>
      <c r="N88" t="str">
        <f>IF(Table1[[#This Row],[Age]]&lt;25,"&lt; 25",IF(Table1[[#This Row],[Age]]&lt;36,"25-35",IF(Table1[[#This Row],[Age]]&lt;51,"36-50",IF(Table1[[#This Row],[Age]]&lt;66,"51-65",IF(Table1[[#This Row],[Age]]&gt;65,"&gt;65","none")))))</f>
        <v>51-65</v>
      </c>
      <c r="O88" t="str">
        <f>IF(AND(Table1[[#This Row],[Smoker]]="Yes",Table1[[#This Row],[Diabetic]]="Yes"),"Yes","No")</f>
        <v>Yes</v>
      </c>
      <c r="P88" t="str">
        <f>IF(OR(Table1[[#This Row],[Smoker]]="Yes",Table1[[#This Row],[Diabetic]]="Yes"),"Yes","No")</f>
        <v>Yes</v>
      </c>
      <c r="Q88" s="1" t="str">
        <f>IF(OR(Table1[[#This Row],[Systolic]]&gt;125,Table1[[#This Row],[Diastolic]]&gt;90),"High","Normal")</f>
        <v>High</v>
      </c>
      <c r="R88" s="1">
        <f>Table1[[#This Row],[Discharge_Date]]-Table1[[#This Row],[Admission_Date]]</f>
        <v>5</v>
      </c>
      <c r="S88" s="1"/>
    </row>
    <row r="89" spans="1:19" x14ac:dyDescent="0.3">
      <c r="A89" t="s">
        <v>110</v>
      </c>
      <c r="B89">
        <v>80</v>
      </c>
      <c r="C89" t="s">
        <v>12</v>
      </c>
      <c r="D89">
        <v>30.6</v>
      </c>
      <c r="E89">
        <v>115</v>
      </c>
      <c r="F89">
        <v>84</v>
      </c>
      <c r="G89" t="s">
        <v>14</v>
      </c>
      <c r="H89" t="s">
        <v>13</v>
      </c>
      <c r="I89" t="s">
        <v>15</v>
      </c>
      <c r="J89" s="2">
        <v>4080.11</v>
      </c>
      <c r="K89" s="3">
        <v>45725</v>
      </c>
      <c r="L89" s="3">
        <v>45739</v>
      </c>
      <c r="M89" t="s">
        <v>23</v>
      </c>
      <c r="N89" t="str">
        <f>IF(Table1[[#This Row],[Age]]&lt;25,"&lt; 25",IF(Table1[[#This Row],[Age]]&lt;36,"25-35",IF(Table1[[#This Row],[Age]]&lt;51,"36-50",IF(Table1[[#This Row],[Age]]&lt;66,"51-65",IF(Table1[[#This Row],[Age]]&gt;65,"&gt;65","none")))))</f>
        <v>&gt;65</v>
      </c>
      <c r="O89" t="str">
        <f>IF(AND(Table1[[#This Row],[Smoker]]="Yes",Table1[[#This Row],[Diabetic]]="Yes"),"Yes","No")</f>
        <v>No</v>
      </c>
      <c r="P89" t="str">
        <f>IF(OR(Table1[[#This Row],[Smoker]]="Yes",Table1[[#This Row],[Diabetic]]="Yes"),"Yes","No")</f>
        <v>Yes</v>
      </c>
      <c r="Q89" s="1" t="str">
        <f>IF(OR(Table1[[#This Row],[Systolic]]&gt;125,Table1[[#This Row],[Diastolic]]&gt;90),"High","Normal")</f>
        <v>Normal</v>
      </c>
      <c r="R89" s="1">
        <f>Table1[[#This Row],[Discharge_Date]]-Table1[[#This Row],[Admission_Date]]</f>
        <v>14</v>
      </c>
      <c r="S89" s="1"/>
    </row>
    <row r="90" spans="1:19" x14ac:dyDescent="0.3">
      <c r="A90" t="s">
        <v>111</v>
      </c>
      <c r="B90">
        <v>67</v>
      </c>
      <c r="C90" t="s">
        <v>12</v>
      </c>
      <c r="D90">
        <v>36.700000000000003</v>
      </c>
      <c r="E90">
        <v>129</v>
      </c>
      <c r="F90">
        <v>96</v>
      </c>
      <c r="G90" t="s">
        <v>14</v>
      </c>
      <c r="H90" t="s">
        <v>14</v>
      </c>
      <c r="I90" t="s">
        <v>15</v>
      </c>
      <c r="J90" s="2">
        <v>3250.28</v>
      </c>
      <c r="K90" s="3">
        <v>45571</v>
      </c>
      <c r="L90" s="3">
        <v>45576</v>
      </c>
      <c r="M90" t="s">
        <v>16</v>
      </c>
      <c r="N90" t="str">
        <f>IF(Table1[[#This Row],[Age]]&lt;25,"&lt; 25",IF(Table1[[#This Row],[Age]]&lt;36,"25-35",IF(Table1[[#This Row],[Age]]&lt;51,"36-50",IF(Table1[[#This Row],[Age]]&lt;66,"51-65",IF(Table1[[#This Row],[Age]]&gt;65,"&gt;65","none")))))</f>
        <v>&gt;65</v>
      </c>
      <c r="O90" t="str">
        <f>IF(AND(Table1[[#This Row],[Smoker]]="Yes",Table1[[#This Row],[Diabetic]]="Yes"),"Yes","No")</f>
        <v>Yes</v>
      </c>
      <c r="P90" t="str">
        <f>IF(OR(Table1[[#This Row],[Smoker]]="Yes",Table1[[#This Row],[Diabetic]]="Yes"),"Yes","No")</f>
        <v>Yes</v>
      </c>
      <c r="Q90" s="1" t="str">
        <f>IF(OR(Table1[[#This Row],[Systolic]]&gt;125,Table1[[#This Row],[Diastolic]]&gt;90),"High","Normal")</f>
        <v>High</v>
      </c>
      <c r="R90" s="1">
        <f>Table1[[#This Row],[Discharge_Date]]-Table1[[#This Row],[Admission_Date]]</f>
        <v>5</v>
      </c>
      <c r="S90" s="1"/>
    </row>
    <row r="91" spans="1:19" x14ac:dyDescent="0.3">
      <c r="A91" t="s">
        <v>112</v>
      </c>
      <c r="B91">
        <v>86</v>
      </c>
      <c r="C91" t="s">
        <v>12</v>
      </c>
      <c r="D91">
        <v>28.2</v>
      </c>
      <c r="E91">
        <v>169</v>
      </c>
      <c r="F91">
        <v>116</v>
      </c>
      <c r="G91" t="s">
        <v>13</v>
      </c>
      <c r="H91" t="s">
        <v>14</v>
      </c>
      <c r="I91" t="s">
        <v>34</v>
      </c>
      <c r="J91" s="2">
        <v>273.10000000000002</v>
      </c>
      <c r="K91" s="3">
        <v>45765</v>
      </c>
      <c r="L91" s="3">
        <v>45777</v>
      </c>
      <c r="M91" t="s">
        <v>16</v>
      </c>
      <c r="N91" t="str">
        <f>IF(Table1[[#This Row],[Age]]&lt;25,"&lt; 25",IF(Table1[[#This Row],[Age]]&lt;36,"25-35",IF(Table1[[#This Row],[Age]]&lt;51,"36-50",IF(Table1[[#This Row],[Age]]&lt;66,"51-65",IF(Table1[[#This Row],[Age]]&gt;65,"&gt;65","none")))))</f>
        <v>&gt;65</v>
      </c>
      <c r="O91" t="str">
        <f>IF(AND(Table1[[#This Row],[Smoker]]="Yes",Table1[[#This Row],[Diabetic]]="Yes"),"Yes","No")</f>
        <v>No</v>
      </c>
      <c r="P91" t="str">
        <f>IF(OR(Table1[[#This Row],[Smoker]]="Yes",Table1[[#This Row],[Diabetic]]="Yes"),"Yes","No")</f>
        <v>Yes</v>
      </c>
      <c r="Q91" s="1" t="str">
        <f>IF(OR(Table1[[#This Row],[Systolic]]&gt;125,Table1[[#This Row],[Diastolic]]&gt;90),"High","Normal")</f>
        <v>High</v>
      </c>
      <c r="R91" s="1">
        <f>Table1[[#This Row],[Discharge_Date]]-Table1[[#This Row],[Admission_Date]]</f>
        <v>12</v>
      </c>
      <c r="S91" s="1"/>
    </row>
    <row r="92" spans="1:19" x14ac:dyDescent="0.3">
      <c r="A92" t="s">
        <v>113</v>
      </c>
      <c r="B92">
        <v>73</v>
      </c>
      <c r="C92" t="s">
        <v>18</v>
      </c>
      <c r="D92">
        <v>35.9</v>
      </c>
      <c r="E92">
        <v>117</v>
      </c>
      <c r="F92">
        <v>114</v>
      </c>
      <c r="G92" t="s">
        <v>13</v>
      </c>
      <c r="H92" t="s">
        <v>13</v>
      </c>
      <c r="I92" t="s">
        <v>32</v>
      </c>
      <c r="J92" s="2">
        <v>4213.29</v>
      </c>
      <c r="K92" s="3">
        <v>45931</v>
      </c>
      <c r="L92" s="3">
        <v>45936</v>
      </c>
      <c r="M92" t="s">
        <v>16</v>
      </c>
      <c r="N92" t="str">
        <f>IF(Table1[[#This Row],[Age]]&lt;25,"&lt; 25",IF(Table1[[#This Row],[Age]]&lt;36,"25-35",IF(Table1[[#This Row],[Age]]&lt;51,"36-50",IF(Table1[[#This Row],[Age]]&lt;66,"51-65",IF(Table1[[#This Row],[Age]]&gt;65,"&gt;65","none")))))</f>
        <v>&gt;65</v>
      </c>
      <c r="O92" t="str">
        <f>IF(AND(Table1[[#This Row],[Smoker]]="Yes",Table1[[#This Row],[Diabetic]]="Yes"),"Yes","No")</f>
        <v>No</v>
      </c>
      <c r="P92" t="str">
        <f>IF(OR(Table1[[#This Row],[Smoker]]="Yes",Table1[[#This Row],[Diabetic]]="Yes"),"Yes","No")</f>
        <v>No</v>
      </c>
      <c r="Q92" s="1" t="str">
        <f>IF(OR(Table1[[#This Row],[Systolic]]&gt;125,Table1[[#This Row],[Diastolic]]&gt;90),"High","Normal")</f>
        <v>High</v>
      </c>
      <c r="R92" s="1">
        <f>Table1[[#This Row],[Discharge_Date]]-Table1[[#This Row],[Admission_Date]]</f>
        <v>5</v>
      </c>
      <c r="S92" s="1"/>
    </row>
    <row r="93" spans="1:19" x14ac:dyDescent="0.3">
      <c r="A93" t="s">
        <v>114</v>
      </c>
      <c r="B93">
        <v>65</v>
      </c>
      <c r="C93" t="s">
        <v>18</v>
      </c>
      <c r="D93">
        <v>32.799999999999997</v>
      </c>
      <c r="E93">
        <v>127</v>
      </c>
      <c r="F93">
        <v>105</v>
      </c>
      <c r="G93" t="s">
        <v>14</v>
      </c>
      <c r="H93" t="s">
        <v>14</v>
      </c>
      <c r="I93" t="s">
        <v>25</v>
      </c>
      <c r="J93" s="2">
        <v>3184.61</v>
      </c>
      <c r="K93" s="3">
        <v>45609</v>
      </c>
      <c r="L93" s="3">
        <v>45620</v>
      </c>
      <c r="M93" t="s">
        <v>23</v>
      </c>
      <c r="N93" t="str">
        <f>IF(Table1[[#This Row],[Age]]&lt;25,"&lt; 25",IF(Table1[[#This Row],[Age]]&lt;36,"25-35",IF(Table1[[#This Row],[Age]]&lt;51,"36-50",IF(Table1[[#This Row],[Age]]&lt;66,"51-65",IF(Table1[[#This Row],[Age]]&gt;65,"&gt;65","none")))))</f>
        <v>51-65</v>
      </c>
      <c r="O93" t="str">
        <f>IF(AND(Table1[[#This Row],[Smoker]]="Yes",Table1[[#This Row],[Diabetic]]="Yes"),"Yes","No")</f>
        <v>Yes</v>
      </c>
      <c r="P93" t="str">
        <f>IF(OR(Table1[[#This Row],[Smoker]]="Yes",Table1[[#This Row],[Diabetic]]="Yes"),"Yes","No")</f>
        <v>Yes</v>
      </c>
      <c r="Q93" s="1" t="str">
        <f>IF(OR(Table1[[#This Row],[Systolic]]&gt;125,Table1[[#This Row],[Diastolic]]&gt;90),"High","Normal")</f>
        <v>High</v>
      </c>
      <c r="R93" s="1">
        <f>Table1[[#This Row],[Discharge_Date]]-Table1[[#This Row],[Admission_Date]]</f>
        <v>11</v>
      </c>
      <c r="S93" s="1"/>
    </row>
    <row r="94" spans="1:19" x14ac:dyDescent="0.3">
      <c r="A94" t="s">
        <v>115</v>
      </c>
      <c r="B94">
        <v>57</v>
      </c>
      <c r="C94" t="s">
        <v>18</v>
      </c>
      <c r="D94">
        <v>39.1</v>
      </c>
      <c r="E94">
        <v>126</v>
      </c>
      <c r="F94">
        <v>95</v>
      </c>
      <c r="G94" t="s">
        <v>14</v>
      </c>
      <c r="H94" t="s">
        <v>14</v>
      </c>
      <c r="I94" t="s">
        <v>15</v>
      </c>
      <c r="J94" s="2">
        <v>2730.53</v>
      </c>
      <c r="K94" s="3">
        <v>45718</v>
      </c>
      <c r="L94" s="3">
        <v>45732</v>
      </c>
      <c r="M94" t="s">
        <v>23</v>
      </c>
      <c r="N94" t="str">
        <f>IF(Table1[[#This Row],[Age]]&lt;25,"&lt; 25",IF(Table1[[#This Row],[Age]]&lt;36,"25-35",IF(Table1[[#This Row],[Age]]&lt;51,"36-50",IF(Table1[[#This Row],[Age]]&lt;66,"51-65",IF(Table1[[#This Row],[Age]]&gt;65,"&gt;65","none")))))</f>
        <v>51-65</v>
      </c>
      <c r="O94" t="str">
        <f>IF(AND(Table1[[#This Row],[Smoker]]="Yes",Table1[[#This Row],[Diabetic]]="Yes"),"Yes","No")</f>
        <v>Yes</v>
      </c>
      <c r="P94" t="str">
        <f>IF(OR(Table1[[#This Row],[Smoker]]="Yes",Table1[[#This Row],[Diabetic]]="Yes"),"Yes","No")</f>
        <v>Yes</v>
      </c>
      <c r="Q94" s="1" t="str">
        <f>IF(OR(Table1[[#This Row],[Systolic]]&gt;125,Table1[[#This Row],[Diastolic]]&gt;90),"High","Normal")</f>
        <v>High</v>
      </c>
      <c r="R94" s="1">
        <f>Table1[[#This Row],[Discharge_Date]]-Table1[[#This Row],[Admission_Date]]</f>
        <v>14</v>
      </c>
      <c r="S94" s="1"/>
    </row>
    <row r="95" spans="1:19" x14ac:dyDescent="0.3">
      <c r="A95" t="s">
        <v>116</v>
      </c>
      <c r="B95">
        <v>78</v>
      </c>
      <c r="C95" t="s">
        <v>12</v>
      </c>
      <c r="D95">
        <v>34.799999999999997</v>
      </c>
      <c r="E95">
        <v>128</v>
      </c>
      <c r="F95">
        <v>77</v>
      </c>
      <c r="G95" t="s">
        <v>13</v>
      </c>
      <c r="H95" t="s">
        <v>13</v>
      </c>
      <c r="I95" t="s">
        <v>15</v>
      </c>
      <c r="J95" s="2">
        <v>3834.3</v>
      </c>
      <c r="K95" s="3">
        <v>45798</v>
      </c>
      <c r="L95" s="3">
        <v>45803</v>
      </c>
      <c r="M95" t="s">
        <v>16</v>
      </c>
      <c r="N95" t="str">
        <f>IF(Table1[[#This Row],[Age]]&lt;25,"&lt; 25",IF(Table1[[#This Row],[Age]]&lt;36,"25-35",IF(Table1[[#This Row],[Age]]&lt;51,"36-50",IF(Table1[[#This Row],[Age]]&lt;66,"51-65",IF(Table1[[#This Row],[Age]]&gt;65,"&gt;65","none")))))</f>
        <v>&gt;65</v>
      </c>
      <c r="O95" t="str">
        <f>IF(AND(Table1[[#This Row],[Smoker]]="Yes",Table1[[#This Row],[Diabetic]]="Yes"),"Yes","No")</f>
        <v>No</v>
      </c>
      <c r="P95" t="str">
        <f>IF(OR(Table1[[#This Row],[Smoker]]="Yes",Table1[[#This Row],[Diabetic]]="Yes"),"Yes","No")</f>
        <v>No</v>
      </c>
      <c r="Q95" s="1" t="str">
        <f>IF(OR(Table1[[#This Row],[Systolic]]&gt;125,Table1[[#This Row],[Diastolic]]&gt;90),"High","Normal")</f>
        <v>High</v>
      </c>
      <c r="R95" s="1">
        <f>Table1[[#This Row],[Discharge_Date]]-Table1[[#This Row],[Admission_Date]]</f>
        <v>5</v>
      </c>
      <c r="S95" s="1"/>
    </row>
    <row r="96" spans="1:19" x14ac:dyDescent="0.3">
      <c r="A96" t="s">
        <v>117</v>
      </c>
      <c r="B96">
        <v>29</v>
      </c>
      <c r="C96" t="s">
        <v>18</v>
      </c>
      <c r="D96">
        <v>32.9</v>
      </c>
      <c r="E96">
        <v>148</v>
      </c>
      <c r="F96">
        <v>102</v>
      </c>
      <c r="G96" t="s">
        <v>13</v>
      </c>
      <c r="H96" t="s">
        <v>13</v>
      </c>
      <c r="I96" t="s">
        <v>15</v>
      </c>
      <c r="J96" s="2">
        <v>1633.41</v>
      </c>
      <c r="K96" s="3">
        <v>45687</v>
      </c>
      <c r="L96" s="3">
        <v>45698</v>
      </c>
      <c r="M96" t="s">
        <v>23</v>
      </c>
      <c r="N96" t="str">
        <f>IF(Table1[[#This Row],[Age]]&lt;25,"&lt; 25",IF(Table1[[#This Row],[Age]]&lt;36,"25-35",IF(Table1[[#This Row],[Age]]&lt;51,"36-50",IF(Table1[[#This Row],[Age]]&lt;66,"51-65",IF(Table1[[#This Row],[Age]]&gt;65,"&gt;65","none")))))</f>
        <v>25-35</v>
      </c>
      <c r="O96" t="str">
        <f>IF(AND(Table1[[#This Row],[Smoker]]="Yes",Table1[[#This Row],[Diabetic]]="Yes"),"Yes","No")</f>
        <v>No</v>
      </c>
      <c r="P96" t="str">
        <f>IF(OR(Table1[[#This Row],[Smoker]]="Yes",Table1[[#This Row],[Diabetic]]="Yes"),"Yes","No")</f>
        <v>No</v>
      </c>
      <c r="Q96" s="1" t="str">
        <f>IF(OR(Table1[[#This Row],[Systolic]]&gt;125,Table1[[#This Row],[Diastolic]]&gt;90),"High","Normal")</f>
        <v>High</v>
      </c>
      <c r="R96" s="1">
        <f>Table1[[#This Row],[Discharge_Date]]-Table1[[#This Row],[Admission_Date]]</f>
        <v>11</v>
      </c>
      <c r="S96" s="1"/>
    </row>
    <row r="97" spans="1:19" x14ac:dyDescent="0.3">
      <c r="A97" t="s">
        <v>118</v>
      </c>
      <c r="B97">
        <v>75</v>
      </c>
      <c r="C97" t="s">
        <v>18</v>
      </c>
      <c r="D97">
        <v>30</v>
      </c>
      <c r="E97">
        <v>131</v>
      </c>
      <c r="F97">
        <v>102</v>
      </c>
      <c r="G97" t="s">
        <v>13</v>
      </c>
      <c r="H97" t="s">
        <v>13</v>
      </c>
      <c r="I97" t="s">
        <v>32</v>
      </c>
      <c r="J97" s="2">
        <v>161.62</v>
      </c>
      <c r="K97" s="3">
        <v>45738</v>
      </c>
      <c r="L97" s="3">
        <v>45744</v>
      </c>
      <c r="M97" t="s">
        <v>19</v>
      </c>
      <c r="N97" t="str">
        <f>IF(Table1[[#This Row],[Age]]&lt;25,"&lt; 25",IF(Table1[[#This Row],[Age]]&lt;36,"25-35",IF(Table1[[#This Row],[Age]]&lt;51,"36-50",IF(Table1[[#This Row],[Age]]&lt;66,"51-65",IF(Table1[[#This Row],[Age]]&gt;65,"&gt;65","none")))))</f>
        <v>&gt;65</v>
      </c>
      <c r="O97" t="str">
        <f>IF(AND(Table1[[#This Row],[Smoker]]="Yes",Table1[[#This Row],[Diabetic]]="Yes"),"Yes","No")</f>
        <v>No</v>
      </c>
      <c r="P97" t="str">
        <f>IF(OR(Table1[[#This Row],[Smoker]]="Yes",Table1[[#This Row],[Diabetic]]="Yes"),"Yes","No")</f>
        <v>No</v>
      </c>
      <c r="Q97" s="1" t="str">
        <f>IF(OR(Table1[[#This Row],[Systolic]]&gt;125,Table1[[#This Row],[Diastolic]]&gt;90),"High","Normal")</f>
        <v>High</v>
      </c>
      <c r="R97" s="1">
        <f>Table1[[#This Row],[Discharge_Date]]-Table1[[#This Row],[Admission_Date]]</f>
        <v>6</v>
      </c>
      <c r="S97" s="1"/>
    </row>
    <row r="98" spans="1:19" x14ac:dyDescent="0.3">
      <c r="A98" t="s">
        <v>119</v>
      </c>
      <c r="B98">
        <v>26</v>
      </c>
      <c r="C98" t="s">
        <v>18</v>
      </c>
      <c r="D98">
        <v>22.9</v>
      </c>
      <c r="E98">
        <v>97</v>
      </c>
      <c r="F98">
        <v>85</v>
      </c>
      <c r="G98" t="s">
        <v>13</v>
      </c>
      <c r="H98" t="s">
        <v>14</v>
      </c>
      <c r="I98" t="s">
        <v>15</v>
      </c>
      <c r="J98" s="2">
        <v>238.17</v>
      </c>
      <c r="K98" s="3">
        <v>45916</v>
      </c>
      <c r="L98" s="3">
        <v>45926</v>
      </c>
      <c r="M98" t="s">
        <v>19</v>
      </c>
      <c r="N98" t="str">
        <f>IF(Table1[[#This Row],[Age]]&lt;25,"&lt; 25",IF(Table1[[#This Row],[Age]]&lt;36,"25-35",IF(Table1[[#This Row],[Age]]&lt;51,"36-50",IF(Table1[[#This Row],[Age]]&lt;66,"51-65",IF(Table1[[#This Row],[Age]]&gt;65,"&gt;65","none")))))</f>
        <v>25-35</v>
      </c>
      <c r="O98" t="str">
        <f>IF(AND(Table1[[#This Row],[Smoker]]="Yes",Table1[[#This Row],[Diabetic]]="Yes"),"Yes","No")</f>
        <v>No</v>
      </c>
      <c r="P98" t="str">
        <f>IF(OR(Table1[[#This Row],[Smoker]]="Yes",Table1[[#This Row],[Diabetic]]="Yes"),"Yes","No")</f>
        <v>Yes</v>
      </c>
      <c r="Q98" s="1" t="str">
        <f>IF(OR(Table1[[#This Row],[Systolic]]&gt;125,Table1[[#This Row],[Diastolic]]&gt;90),"High","Normal")</f>
        <v>Normal</v>
      </c>
      <c r="R98" s="1">
        <f>Table1[[#This Row],[Discharge_Date]]-Table1[[#This Row],[Admission_Date]]</f>
        <v>10</v>
      </c>
      <c r="S98" s="1"/>
    </row>
    <row r="99" spans="1:19" x14ac:dyDescent="0.3">
      <c r="A99" t="s">
        <v>120</v>
      </c>
      <c r="B99">
        <v>28</v>
      </c>
      <c r="C99" t="s">
        <v>18</v>
      </c>
      <c r="D99">
        <v>32.299999999999997</v>
      </c>
      <c r="E99">
        <v>143</v>
      </c>
      <c r="F99">
        <v>79</v>
      </c>
      <c r="G99" t="s">
        <v>14</v>
      </c>
      <c r="H99" t="s">
        <v>13</v>
      </c>
      <c r="I99" t="s">
        <v>21</v>
      </c>
      <c r="J99" s="2">
        <v>2327.88</v>
      </c>
      <c r="K99" s="3">
        <v>45670</v>
      </c>
      <c r="L99" s="3">
        <v>45671</v>
      </c>
      <c r="M99" t="s">
        <v>19</v>
      </c>
      <c r="N99" t="str">
        <f>IF(Table1[[#This Row],[Age]]&lt;25,"&lt; 25",IF(Table1[[#This Row],[Age]]&lt;36,"25-35",IF(Table1[[#This Row],[Age]]&lt;51,"36-50",IF(Table1[[#This Row],[Age]]&lt;66,"51-65",IF(Table1[[#This Row],[Age]]&gt;65,"&gt;65","none")))))</f>
        <v>25-35</v>
      </c>
      <c r="O99" t="str">
        <f>IF(AND(Table1[[#This Row],[Smoker]]="Yes",Table1[[#This Row],[Diabetic]]="Yes"),"Yes","No")</f>
        <v>No</v>
      </c>
      <c r="P99" t="str">
        <f>IF(OR(Table1[[#This Row],[Smoker]]="Yes",Table1[[#This Row],[Diabetic]]="Yes"),"Yes","No")</f>
        <v>Yes</v>
      </c>
      <c r="Q99" s="1" t="str">
        <f>IF(OR(Table1[[#This Row],[Systolic]]&gt;125,Table1[[#This Row],[Diastolic]]&gt;90),"High","Normal")</f>
        <v>High</v>
      </c>
      <c r="R99" s="1">
        <f>Table1[[#This Row],[Discharge_Date]]-Table1[[#This Row],[Admission_Date]]</f>
        <v>1</v>
      </c>
      <c r="S99" s="1"/>
    </row>
    <row r="100" spans="1:19" x14ac:dyDescent="0.3">
      <c r="A100" t="s">
        <v>121</v>
      </c>
      <c r="B100">
        <v>83</v>
      </c>
      <c r="C100" t="s">
        <v>12</v>
      </c>
      <c r="D100">
        <v>19.7</v>
      </c>
      <c r="E100">
        <v>149</v>
      </c>
      <c r="F100">
        <v>98</v>
      </c>
      <c r="G100" t="s">
        <v>14</v>
      </c>
      <c r="H100" t="s">
        <v>13</v>
      </c>
      <c r="I100" t="s">
        <v>32</v>
      </c>
      <c r="J100" s="2">
        <v>1778.36</v>
      </c>
      <c r="K100" s="3">
        <v>45842</v>
      </c>
      <c r="L100" s="3">
        <v>45855</v>
      </c>
      <c r="M100" t="s">
        <v>19</v>
      </c>
      <c r="N100" t="str">
        <f>IF(Table1[[#This Row],[Age]]&lt;25,"&lt; 25",IF(Table1[[#This Row],[Age]]&lt;36,"25-35",IF(Table1[[#This Row],[Age]]&lt;51,"36-50",IF(Table1[[#This Row],[Age]]&lt;66,"51-65",IF(Table1[[#This Row],[Age]]&gt;65,"&gt;65","none")))))</f>
        <v>&gt;65</v>
      </c>
      <c r="O100" t="str">
        <f>IF(AND(Table1[[#This Row],[Smoker]]="Yes",Table1[[#This Row],[Diabetic]]="Yes"),"Yes","No")</f>
        <v>No</v>
      </c>
      <c r="P100" t="str">
        <f>IF(OR(Table1[[#This Row],[Smoker]]="Yes",Table1[[#This Row],[Diabetic]]="Yes"),"Yes","No")</f>
        <v>Yes</v>
      </c>
      <c r="Q100" s="1" t="str">
        <f>IF(OR(Table1[[#This Row],[Systolic]]&gt;125,Table1[[#This Row],[Diastolic]]&gt;90),"High","Normal")</f>
        <v>High</v>
      </c>
      <c r="R100" s="1">
        <f>Table1[[#This Row],[Discharge_Date]]-Table1[[#This Row],[Admission_Date]]</f>
        <v>13</v>
      </c>
      <c r="S100" s="1"/>
    </row>
    <row r="101" spans="1:19" x14ac:dyDescent="0.3">
      <c r="A101" t="s">
        <v>122</v>
      </c>
      <c r="B101">
        <v>69</v>
      </c>
      <c r="C101" t="s">
        <v>12</v>
      </c>
      <c r="D101">
        <v>36.299999999999997</v>
      </c>
      <c r="E101">
        <v>176</v>
      </c>
      <c r="F101">
        <v>109</v>
      </c>
      <c r="G101" t="s">
        <v>14</v>
      </c>
      <c r="H101" t="s">
        <v>13</v>
      </c>
      <c r="I101" t="s">
        <v>34</v>
      </c>
      <c r="J101" s="2">
        <v>4015.86</v>
      </c>
      <c r="K101" s="3">
        <v>45747</v>
      </c>
      <c r="L101" s="3">
        <v>45752</v>
      </c>
      <c r="M101" t="s">
        <v>23</v>
      </c>
      <c r="N101" t="str">
        <f>IF(Table1[[#This Row],[Age]]&lt;25,"&lt; 25",IF(Table1[[#This Row],[Age]]&lt;36,"25-35",IF(Table1[[#This Row],[Age]]&lt;51,"36-50",IF(Table1[[#This Row],[Age]]&lt;66,"51-65",IF(Table1[[#This Row],[Age]]&gt;65,"&gt;65","none")))))</f>
        <v>&gt;65</v>
      </c>
      <c r="O101" t="str">
        <f>IF(AND(Table1[[#This Row],[Smoker]]="Yes",Table1[[#This Row],[Diabetic]]="Yes"),"Yes","No")</f>
        <v>No</v>
      </c>
      <c r="P101" t="str">
        <f>IF(OR(Table1[[#This Row],[Smoker]]="Yes",Table1[[#This Row],[Diabetic]]="Yes"),"Yes","No")</f>
        <v>Yes</v>
      </c>
      <c r="Q101" s="1" t="str">
        <f>IF(OR(Table1[[#This Row],[Systolic]]&gt;125,Table1[[#This Row],[Diastolic]]&gt;90),"High","Normal")</f>
        <v>High</v>
      </c>
      <c r="R101" s="1">
        <f>Table1[[#This Row],[Discharge_Date]]-Table1[[#This Row],[Admission_Date]]</f>
        <v>5</v>
      </c>
      <c r="S101" s="1"/>
    </row>
    <row r="102" spans="1:19" x14ac:dyDescent="0.3">
      <c r="A102" t="s">
        <v>123</v>
      </c>
      <c r="B102">
        <v>40</v>
      </c>
      <c r="C102" t="s">
        <v>18</v>
      </c>
      <c r="D102">
        <v>39.9</v>
      </c>
      <c r="E102">
        <v>108</v>
      </c>
      <c r="F102">
        <v>85</v>
      </c>
      <c r="G102" t="s">
        <v>14</v>
      </c>
      <c r="H102" t="s">
        <v>13</v>
      </c>
      <c r="I102" t="s">
        <v>32</v>
      </c>
      <c r="J102" s="2">
        <v>245.99</v>
      </c>
      <c r="K102" s="3">
        <v>45790</v>
      </c>
      <c r="L102" s="3">
        <v>45791</v>
      </c>
      <c r="M102" t="s">
        <v>23</v>
      </c>
      <c r="N102" t="str">
        <f>IF(Table1[[#This Row],[Age]]&lt;25,"&lt; 25",IF(Table1[[#This Row],[Age]]&lt;36,"25-35",IF(Table1[[#This Row],[Age]]&lt;51,"36-50",IF(Table1[[#This Row],[Age]]&lt;66,"51-65",IF(Table1[[#This Row],[Age]]&gt;65,"&gt;65","none")))))</f>
        <v>36-50</v>
      </c>
      <c r="O102" t="str">
        <f>IF(AND(Table1[[#This Row],[Smoker]]="Yes",Table1[[#This Row],[Diabetic]]="Yes"),"Yes","No")</f>
        <v>No</v>
      </c>
      <c r="P102" t="str">
        <f>IF(OR(Table1[[#This Row],[Smoker]]="Yes",Table1[[#This Row],[Diabetic]]="Yes"),"Yes","No")</f>
        <v>Yes</v>
      </c>
      <c r="Q102" s="1" t="str">
        <f>IF(OR(Table1[[#This Row],[Systolic]]&gt;125,Table1[[#This Row],[Diastolic]]&gt;90),"High","Normal")</f>
        <v>Normal</v>
      </c>
      <c r="R102" s="1">
        <f>Table1[[#This Row],[Discharge_Date]]-Table1[[#This Row],[Admission_Date]]</f>
        <v>1</v>
      </c>
      <c r="S102" s="1"/>
    </row>
    <row r="103" spans="1:19" x14ac:dyDescent="0.3">
      <c r="A103" t="s">
        <v>124</v>
      </c>
      <c r="B103">
        <v>88</v>
      </c>
      <c r="C103" t="s">
        <v>18</v>
      </c>
      <c r="D103">
        <v>39</v>
      </c>
      <c r="E103">
        <v>123</v>
      </c>
      <c r="F103">
        <v>118</v>
      </c>
      <c r="G103" t="s">
        <v>13</v>
      </c>
      <c r="H103" t="s">
        <v>14</v>
      </c>
      <c r="I103" t="s">
        <v>21</v>
      </c>
      <c r="J103" s="2">
        <v>3426.65</v>
      </c>
      <c r="K103" s="3">
        <v>45735</v>
      </c>
      <c r="L103" s="3">
        <v>45744</v>
      </c>
      <c r="M103" t="s">
        <v>23</v>
      </c>
      <c r="N103" t="str">
        <f>IF(Table1[[#This Row],[Age]]&lt;25,"&lt; 25",IF(Table1[[#This Row],[Age]]&lt;36,"25-35",IF(Table1[[#This Row],[Age]]&lt;51,"36-50",IF(Table1[[#This Row],[Age]]&lt;66,"51-65",IF(Table1[[#This Row],[Age]]&gt;65,"&gt;65","none")))))</f>
        <v>&gt;65</v>
      </c>
      <c r="O103" t="str">
        <f>IF(AND(Table1[[#This Row],[Smoker]]="Yes",Table1[[#This Row],[Diabetic]]="Yes"),"Yes","No")</f>
        <v>No</v>
      </c>
      <c r="P103" t="str">
        <f>IF(OR(Table1[[#This Row],[Smoker]]="Yes",Table1[[#This Row],[Diabetic]]="Yes"),"Yes","No")</f>
        <v>Yes</v>
      </c>
      <c r="Q103" s="1" t="str">
        <f>IF(OR(Table1[[#This Row],[Systolic]]&gt;125,Table1[[#This Row],[Diastolic]]&gt;90),"High","Normal")</f>
        <v>High</v>
      </c>
      <c r="R103" s="1">
        <f>Table1[[#This Row],[Discharge_Date]]-Table1[[#This Row],[Admission_Date]]</f>
        <v>9</v>
      </c>
      <c r="S103" s="1"/>
    </row>
    <row r="104" spans="1:19" x14ac:dyDescent="0.3">
      <c r="A104" t="s">
        <v>125</v>
      </c>
      <c r="B104">
        <v>38</v>
      </c>
      <c r="C104" t="s">
        <v>18</v>
      </c>
      <c r="D104">
        <v>38.700000000000003</v>
      </c>
      <c r="E104">
        <v>93</v>
      </c>
      <c r="F104">
        <v>118</v>
      </c>
      <c r="G104" t="s">
        <v>14</v>
      </c>
      <c r="H104" t="s">
        <v>14</v>
      </c>
      <c r="I104" t="s">
        <v>34</v>
      </c>
      <c r="J104" s="2">
        <v>2880.9</v>
      </c>
      <c r="K104" s="3">
        <v>45899</v>
      </c>
      <c r="L104" s="3">
        <v>45900</v>
      </c>
      <c r="M104" t="s">
        <v>23</v>
      </c>
      <c r="N104" t="str">
        <f>IF(Table1[[#This Row],[Age]]&lt;25,"&lt; 25",IF(Table1[[#This Row],[Age]]&lt;36,"25-35",IF(Table1[[#This Row],[Age]]&lt;51,"36-50",IF(Table1[[#This Row],[Age]]&lt;66,"51-65",IF(Table1[[#This Row],[Age]]&gt;65,"&gt;65","none")))))</f>
        <v>36-50</v>
      </c>
      <c r="O104" t="str">
        <f>IF(AND(Table1[[#This Row],[Smoker]]="Yes",Table1[[#This Row],[Diabetic]]="Yes"),"Yes","No")</f>
        <v>Yes</v>
      </c>
      <c r="P104" t="str">
        <f>IF(OR(Table1[[#This Row],[Smoker]]="Yes",Table1[[#This Row],[Diabetic]]="Yes"),"Yes","No")</f>
        <v>Yes</v>
      </c>
      <c r="Q104" s="1" t="str">
        <f>IF(OR(Table1[[#This Row],[Systolic]]&gt;125,Table1[[#This Row],[Diastolic]]&gt;90),"High","Normal")</f>
        <v>High</v>
      </c>
      <c r="R104" s="1">
        <f>Table1[[#This Row],[Discharge_Date]]-Table1[[#This Row],[Admission_Date]]</f>
        <v>1</v>
      </c>
      <c r="S104" s="1"/>
    </row>
    <row r="105" spans="1:19" x14ac:dyDescent="0.3">
      <c r="A105" t="s">
        <v>126</v>
      </c>
      <c r="B105">
        <v>36</v>
      </c>
      <c r="C105" t="s">
        <v>12</v>
      </c>
      <c r="D105">
        <v>26.6</v>
      </c>
      <c r="E105">
        <v>118</v>
      </c>
      <c r="F105">
        <v>100</v>
      </c>
      <c r="G105" t="s">
        <v>13</v>
      </c>
      <c r="H105" t="s">
        <v>14</v>
      </c>
      <c r="I105" t="s">
        <v>25</v>
      </c>
      <c r="J105" s="2">
        <v>1697.07</v>
      </c>
      <c r="K105" s="3">
        <v>45840</v>
      </c>
      <c r="L105" s="3">
        <v>45852</v>
      </c>
      <c r="M105" t="s">
        <v>16</v>
      </c>
      <c r="N105" t="str">
        <f>IF(Table1[[#This Row],[Age]]&lt;25,"&lt; 25",IF(Table1[[#This Row],[Age]]&lt;36,"25-35",IF(Table1[[#This Row],[Age]]&lt;51,"36-50",IF(Table1[[#This Row],[Age]]&lt;66,"51-65",IF(Table1[[#This Row],[Age]]&gt;65,"&gt;65","none")))))</f>
        <v>36-50</v>
      </c>
      <c r="O105" t="str">
        <f>IF(AND(Table1[[#This Row],[Smoker]]="Yes",Table1[[#This Row],[Diabetic]]="Yes"),"Yes","No")</f>
        <v>No</v>
      </c>
      <c r="P105" t="str">
        <f>IF(OR(Table1[[#This Row],[Smoker]]="Yes",Table1[[#This Row],[Diabetic]]="Yes"),"Yes","No")</f>
        <v>Yes</v>
      </c>
      <c r="Q105" s="1" t="str">
        <f>IF(OR(Table1[[#This Row],[Systolic]]&gt;125,Table1[[#This Row],[Diastolic]]&gt;90),"High","Normal")</f>
        <v>High</v>
      </c>
      <c r="R105" s="1">
        <f>Table1[[#This Row],[Discharge_Date]]-Table1[[#This Row],[Admission_Date]]</f>
        <v>12</v>
      </c>
      <c r="S105" s="1"/>
    </row>
    <row r="106" spans="1:19" x14ac:dyDescent="0.3">
      <c r="A106" t="s">
        <v>127</v>
      </c>
      <c r="B106">
        <v>64</v>
      </c>
      <c r="C106" t="s">
        <v>18</v>
      </c>
      <c r="D106">
        <v>29.8</v>
      </c>
      <c r="E106">
        <v>93</v>
      </c>
      <c r="F106">
        <v>119</v>
      </c>
      <c r="G106" t="s">
        <v>13</v>
      </c>
      <c r="H106" t="s">
        <v>13</v>
      </c>
      <c r="I106" t="s">
        <v>25</v>
      </c>
      <c r="J106" s="2">
        <v>4132.9399999999996</v>
      </c>
      <c r="K106" s="3">
        <v>45798</v>
      </c>
      <c r="L106" s="3">
        <v>45810</v>
      </c>
      <c r="M106" t="s">
        <v>23</v>
      </c>
      <c r="N106" t="str">
        <f>IF(Table1[[#This Row],[Age]]&lt;25,"&lt; 25",IF(Table1[[#This Row],[Age]]&lt;36,"25-35",IF(Table1[[#This Row],[Age]]&lt;51,"36-50",IF(Table1[[#This Row],[Age]]&lt;66,"51-65",IF(Table1[[#This Row],[Age]]&gt;65,"&gt;65","none")))))</f>
        <v>51-65</v>
      </c>
      <c r="O106" t="str">
        <f>IF(AND(Table1[[#This Row],[Smoker]]="Yes",Table1[[#This Row],[Diabetic]]="Yes"),"Yes","No")</f>
        <v>No</v>
      </c>
      <c r="P106" t="str">
        <f>IF(OR(Table1[[#This Row],[Smoker]]="Yes",Table1[[#This Row],[Diabetic]]="Yes"),"Yes","No")</f>
        <v>No</v>
      </c>
      <c r="Q106" s="1" t="str">
        <f>IF(OR(Table1[[#This Row],[Systolic]]&gt;125,Table1[[#This Row],[Diastolic]]&gt;90),"High","Normal")</f>
        <v>High</v>
      </c>
      <c r="R106" s="1">
        <f>Table1[[#This Row],[Discharge_Date]]-Table1[[#This Row],[Admission_Date]]</f>
        <v>12</v>
      </c>
      <c r="S106" s="1"/>
    </row>
    <row r="107" spans="1:19" x14ac:dyDescent="0.3">
      <c r="A107" t="s">
        <v>128</v>
      </c>
      <c r="B107">
        <v>69</v>
      </c>
      <c r="C107" t="s">
        <v>18</v>
      </c>
      <c r="D107">
        <v>27.9</v>
      </c>
      <c r="E107">
        <v>162</v>
      </c>
      <c r="F107">
        <v>108</v>
      </c>
      <c r="G107" t="s">
        <v>13</v>
      </c>
      <c r="H107" t="s">
        <v>14</v>
      </c>
      <c r="I107" t="s">
        <v>25</v>
      </c>
      <c r="J107" s="2">
        <v>4602.03</v>
      </c>
      <c r="K107" s="3">
        <v>45665</v>
      </c>
      <c r="L107" s="3">
        <v>45669</v>
      </c>
      <c r="M107" t="s">
        <v>23</v>
      </c>
      <c r="N107" t="str">
        <f>IF(Table1[[#This Row],[Age]]&lt;25,"&lt; 25",IF(Table1[[#This Row],[Age]]&lt;36,"25-35",IF(Table1[[#This Row],[Age]]&lt;51,"36-50",IF(Table1[[#This Row],[Age]]&lt;66,"51-65",IF(Table1[[#This Row],[Age]]&gt;65,"&gt;65","none")))))</f>
        <v>&gt;65</v>
      </c>
      <c r="O107" t="str">
        <f>IF(AND(Table1[[#This Row],[Smoker]]="Yes",Table1[[#This Row],[Diabetic]]="Yes"),"Yes","No")</f>
        <v>No</v>
      </c>
      <c r="P107" t="str">
        <f>IF(OR(Table1[[#This Row],[Smoker]]="Yes",Table1[[#This Row],[Diabetic]]="Yes"),"Yes","No")</f>
        <v>Yes</v>
      </c>
      <c r="Q107" s="1" t="str">
        <f>IF(OR(Table1[[#This Row],[Systolic]]&gt;125,Table1[[#This Row],[Diastolic]]&gt;90),"High","Normal")</f>
        <v>High</v>
      </c>
      <c r="R107" s="1">
        <f>Table1[[#This Row],[Discharge_Date]]-Table1[[#This Row],[Admission_Date]]</f>
        <v>4</v>
      </c>
      <c r="S107" s="1"/>
    </row>
    <row r="108" spans="1:19" x14ac:dyDescent="0.3">
      <c r="A108" t="s">
        <v>129</v>
      </c>
      <c r="B108">
        <v>28</v>
      </c>
      <c r="C108" t="s">
        <v>18</v>
      </c>
      <c r="D108">
        <v>38</v>
      </c>
      <c r="E108">
        <v>163</v>
      </c>
      <c r="F108">
        <v>99</v>
      </c>
      <c r="G108" t="s">
        <v>13</v>
      </c>
      <c r="H108" t="s">
        <v>13</v>
      </c>
      <c r="I108" t="s">
        <v>15</v>
      </c>
      <c r="J108" s="2">
        <v>3190.4</v>
      </c>
      <c r="K108" s="3">
        <v>45871</v>
      </c>
      <c r="L108" s="3">
        <v>45876</v>
      </c>
      <c r="M108" t="s">
        <v>16</v>
      </c>
      <c r="N108" t="str">
        <f>IF(Table1[[#This Row],[Age]]&lt;25,"&lt; 25",IF(Table1[[#This Row],[Age]]&lt;36,"25-35",IF(Table1[[#This Row],[Age]]&lt;51,"36-50",IF(Table1[[#This Row],[Age]]&lt;66,"51-65",IF(Table1[[#This Row],[Age]]&gt;65,"&gt;65","none")))))</f>
        <v>25-35</v>
      </c>
      <c r="O108" t="str">
        <f>IF(AND(Table1[[#This Row],[Smoker]]="Yes",Table1[[#This Row],[Diabetic]]="Yes"),"Yes","No")</f>
        <v>No</v>
      </c>
      <c r="P108" t="str">
        <f>IF(OR(Table1[[#This Row],[Smoker]]="Yes",Table1[[#This Row],[Diabetic]]="Yes"),"Yes","No")</f>
        <v>No</v>
      </c>
      <c r="Q108" s="1" t="str">
        <f>IF(OR(Table1[[#This Row],[Systolic]]&gt;125,Table1[[#This Row],[Diastolic]]&gt;90),"High","Normal")</f>
        <v>High</v>
      </c>
      <c r="R108" s="1">
        <f>Table1[[#This Row],[Discharge_Date]]-Table1[[#This Row],[Admission_Date]]</f>
        <v>5</v>
      </c>
      <c r="S108" s="1"/>
    </row>
    <row r="109" spans="1:19" x14ac:dyDescent="0.3">
      <c r="A109" t="s">
        <v>130</v>
      </c>
      <c r="B109">
        <v>19</v>
      </c>
      <c r="C109" t="s">
        <v>18</v>
      </c>
      <c r="D109">
        <v>18.2</v>
      </c>
      <c r="E109">
        <v>123</v>
      </c>
      <c r="F109">
        <v>62</v>
      </c>
      <c r="G109" t="s">
        <v>13</v>
      </c>
      <c r="H109" t="s">
        <v>14</v>
      </c>
      <c r="I109" t="s">
        <v>21</v>
      </c>
      <c r="J109" s="2">
        <v>3745.05</v>
      </c>
      <c r="K109" s="3">
        <v>45645</v>
      </c>
      <c r="L109" s="3">
        <v>45651</v>
      </c>
      <c r="M109" t="s">
        <v>19</v>
      </c>
      <c r="N109" t="str">
        <f>IF(Table1[[#This Row],[Age]]&lt;25,"&lt; 25",IF(Table1[[#This Row],[Age]]&lt;36,"25-35",IF(Table1[[#This Row],[Age]]&lt;51,"36-50",IF(Table1[[#This Row],[Age]]&lt;66,"51-65",IF(Table1[[#This Row],[Age]]&gt;65,"&gt;65","none")))))</f>
        <v>&lt; 25</v>
      </c>
      <c r="O109" t="str">
        <f>IF(AND(Table1[[#This Row],[Smoker]]="Yes",Table1[[#This Row],[Diabetic]]="Yes"),"Yes","No")</f>
        <v>No</v>
      </c>
      <c r="P109" t="str">
        <f>IF(OR(Table1[[#This Row],[Smoker]]="Yes",Table1[[#This Row],[Diabetic]]="Yes"),"Yes","No")</f>
        <v>Yes</v>
      </c>
      <c r="Q109" s="1" t="str">
        <f>IF(OR(Table1[[#This Row],[Systolic]]&gt;125,Table1[[#This Row],[Diastolic]]&gt;90),"High","Normal")</f>
        <v>Normal</v>
      </c>
      <c r="R109" s="1">
        <f>Table1[[#This Row],[Discharge_Date]]-Table1[[#This Row],[Admission_Date]]</f>
        <v>6</v>
      </c>
      <c r="S109" s="1"/>
    </row>
    <row r="110" spans="1:19" x14ac:dyDescent="0.3">
      <c r="A110" t="s">
        <v>131</v>
      </c>
      <c r="B110">
        <v>44</v>
      </c>
      <c r="C110" t="s">
        <v>12</v>
      </c>
      <c r="D110">
        <v>21.7</v>
      </c>
      <c r="E110">
        <v>111</v>
      </c>
      <c r="F110">
        <v>120</v>
      </c>
      <c r="G110" t="s">
        <v>13</v>
      </c>
      <c r="H110" t="s">
        <v>13</v>
      </c>
      <c r="I110" t="s">
        <v>32</v>
      </c>
      <c r="J110" s="2">
        <v>4342.01</v>
      </c>
      <c r="K110" s="3">
        <v>45649</v>
      </c>
      <c r="L110" s="3">
        <v>45661</v>
      </c>
      <c r="M110" t="s">
        <v>19</v>
      </c>
      <c r="N110" t="str">
        <f>IF(Table1[[#This Row],[Age]]&lt;25,"&lt; 25",IF(Table1[[#This Row],[Age]]&lt;36,"25-35",IF(Table1[[#This Row],[Age]]&lt;51,"36-50",IF(Table1[[#This Row],[Age]]&lt;66,"51-65",IF(Table1[[#This Row],[Age]]&gt;65,"&gt;65","none")))))</f>
        <v>36-50</v>
      </c>
      <c r="O110" t="str">
        <f>IF(AND(Table1[[#This Row],[Smoker]]="Yes",Table1[[#This Row],[Diabetic]]="Yes"),"Yes","No")</f>
        <v>No</v>
      </c>
      <c r="P110" t="str">
        <f>IF(OR(Table1[[#This Row],[Smoker]]="Yes",Table1[[#This Row],[Diabetic]]="Yes"),"Yes","No")</f>
        <v>No</v>
      </c>
      <c r="Q110" s="1" t="str">
        <f>IF(OR(Table1[[#This Row],[Systolic]]&gt;125,Table1[[#This Row],[Diastolic]]&gt;90),"High","Normal")</f>
        <v>High</v>
      </c>
      <c r="R110" s="1">
        <f>Table1[[#This Row],[Discharge_Date]]-Table1[[#This Row],[Admission_Date]]</f>
        <v>12</v>
      </c>
      <c r="S110" s="1"/>
    </row>
    <row r="111" spans="1:19" x14ac:dyDescent="0.3">
      <c r="A111" t="s">
        <v>132</v>
      </c>
      <c r="B111">
        <v>85</v>
      </c>
      <c r="C111" t="s">
        <v>18</v>
      </c>
      <c r="D111">
        <v>19.2</v>
      </c>
      <c r="E111">
        <v>107</v>
      </c>
      <c r="F111">
        <v>106</v>
      </c>
      <c r="G111" t="s">
        <v>13</v>
      </c>
      <c r="H111" t="s">
        <v>14</v>
      </c>
      <c r="I111" t="s">
        <v>15</v>
      </c>
      <c r="J111" s="2">
        <v>4815.87</v>
      </c>
      <c r="K111" s="3">
        <v>45746</v>
      </c>
      <c r="L111" s="3">
        <v>45749</v>
      </c>
      <c r="M111" t="s">
        <v>16</v>
      </c>
      <c r="N111" t="str">
        <f>IF(Table1[[#This Row],[Age]]&lt;25,"&lt; 25",IF(Table1[[#This Row],[Age]]&lt;36,"25-35",IF(Table1[[#This Row],[Age]]&lt;51,"36-50",IF(Table1[[#This Row],[Age]]&lt;66,"51-65",IF(Table1[[#This Row],[Age]]&gt;65,"&gt;65","none")))))</f>
        <v>&gt;65</v>
      </c>
      <c r="O111" t="str">
        <f>IF(AND(Table1[[#This Row],[Smoker]]="Yes",Table1[[#This Row],[Diabetic]]="Yes"),"Yes","No")</f>
        <v>No</v>
      </c>
      <c r="P111" t="str">
        <f>IF(OR(Table1[[#This Row],[Smoker]]="Yes",Table1[[#This Row],[Diabetic]]="Yes"),"Yes","No")</f>
        <v>Yes</v>
      </c>
      <c r="Q111" s="1" t="str">
        <f>IF(OR(Table1[[#This Row],[Systolic]]&gt;125,Table1[[#This Row],[Diastolic]]&gt;90),"High","Normal")</f>
        <v>High</v>
      </c>
      <c r="R111" s="1">
        <f>Table1[[#This Row],[Discharge_Date]]-Table1[[#This Row],[Admission_Date]]</f>
        <v>3</v>
      </c>
      <c r="S111" s="1"/>
    </row>
    <row r="112" spans="1:19" x14ac:dyDescent="0.3">
      <c r="A112" t="s">
        <v>133</v>
      </c>
      <c r="B112">
        <v>49</v>
      </c>
      <c r="C112" t="s">
        <v>12</v>
      </c>
      <c r="D112">
        <v>28.3</v>
      </c>
      <c r="E112">
        <v>119</v>
      </c>
      <c r="F112">
        <v>78</v>
      </c>
      <c r="G112" t="s">
        <v>13</v>
      </c>
      <c r="H112" t="s">
        <v>13</v>
      </c>
      <c r="I112" t="s">
        <v>34</v>
      </c>
      <c r="J112" s="2">
        <v>2808.73</v>
      </c>
      <c r="K112" s="3">
        <v>45789</v>
      </c>
      <c r="L112" s="3">
        <v>45791</v>
      </c>
      <c r="M112" t="s">
        <v>19</v>
      </c>
      <c r="N112" t="str">
        <f>IF(Table1[[#This Row],[Age]]&lt;25,"&lt; 25",IF(Table1[[#This Row],[Age]]&lt;36,"25-35",IF(Table1[[#This Row],[Age]]&lt;51,"36-50",IF(Table1[[#This Row],[Age]]&lt;66,"51-65",IF(Table1[[#This Row],[Age]]&gt;65,"&gt;65","none")))))</f>
        <v>36-50</v>
      </c>
      <c r="O112" t="str">
        <f>IF(AND(Table1[[#This Row],[Smoker]]="Yes",Table1[[#This Row],[Diabetic]]="Yes"),"Yes","No")</f>
        <v>No</v>
      </c>
      <c r="P112" t="str">
        <f>IF(OR(Table1[[#This Row],[Smoker]]="Yes",Table1[[#This Row],[Diabetic]]="Yes"),"Yes","No")</f>
        <v>No</v>
      </c>
      <c r="Q112" s="1" t="str">
        <f>IF(OR(Table1[[#This Row],[Systolic]]&gt;125,Table1[[#This Row],[Diastolic]]&gt;90),"High","Normal")</f>
        <v>Normal</v>
      </c>
      <c r="R112" s="1">
        <f>Table1[[#This Row],[Discharge_Date]]-Table1[[#This Row],[Admission_Date]]</f>
        <v>2</v>
      </c>
      <c r="S112" s="1"/>
    </row>
    <row r="113" spans="1:19" x14ac:dyDescent="0.3">
      <c r="A113" t="s">
        <v>134</v>
      </c>
      <c r="B113">
        <v>88</v>
      </c>
      <c r="C113" t="s">
        <v>12</v>
      </c>
      <c r="D113">
        <v>29.4</v>
      </c>
      <c r="E113">
        <v>171</v>
      </c>
      <c r="F113">
        <v>95</v>
      </c>
      <c r="G113" t="s">
        <v>14</v>
      </c>
      <c r="H113" t="s">
        <v>13</v>
      </c>
      <c r="I113" t="s">
        <v>34</v>
      </c>
      <c r="J113" s="2">
        <v>1271.1199999999999</v>
      </c>
      <c r="K113" s="3">
        <v>45839</v>
      </c>
      <c r="L113" s="3">
        <v>45843</v>
      </c>
      <c r="M113" t="s">
        <v>19</v>
      </c>
      <c r="N113" t="str">
        <f>IF(Table1[[#This Row],[Age]]&lt;25,"&lt; 25",IF(Table1[[#This Row],[Age]]&lt;36,"25-35",IF(Table1[[#This Row],[Age]]&lt;51,"36-50",IF(Table1[[#This Row],[Age]]&lt;66,"51-65",IF(Table1[[#This Row],[Age]]&gt;65,"&gt;65","none")))))</f>
        <v>&gt;65</v>
      </c>
      <c r="O113" t="str">
        <f>IF(AND(Table1[[#This Row],[Smoker]]="Yes",Table1[[#This Row],[Diabetic]]="Yes"),"Yes","No")</f>
        <v>No</v>
      </c>
      <c r="P113" t="str">
        <f>IF(OR(Table1[[#This Row],[Smoker]]="Yes",Table1[[#This Row],[Diabetic]]="Yes"),"Yes","No")</f>
        <v>Yes</v>
      </c>
      <c r="Q113" s="1" t="str">
        <f>IF(OR(Table1[[#This Row],[Systolic]]&gt;125,Table1[[#This Row],[Diastolic]]&gt;90),"High","Normal")</f>
        <v>High</v>
      </c>
      <c r="R113" s="1">
        <f>Table1[[#This Row],[Discharge_Date]]-Table1[[#This Row],[Admission_Date]]</f>
        <v>4</v>
      </c>
      <c r="S113" s="1"/>
    </row>
    <row r="114" spans="1:19" x14ac:dyDescent="0.3">
      <c r="A114" t="s">
        <v>135</v>
      </c>
      <c r="B114">
        <v>21</v>
      </c>
      <c r="C114" t="s">
        <v>12</v>
      </c>
      <c r="D114">
        <v>32</v>
      </c>
      <c r="E114">
        <v>178</v>
      </c>
      <c r="F114">
        <v>90</v>
      </c>
      <c r="G114" t="s">
        <v>14</v>
      </c>
      <c r="H114" t="s">
        <v>13</v>
      </c>
      <c r="I114" t="s">
        <v>25</v>
      </c>
      <c r="J114" s="2">
        <v>911.21</v>
      </c>
      <c r="K114" s="3">
        <v>45741</v>
      </c>
      <c r="L114" s="3">
        <v>45751</v>
      </c>
      <c r="M114" t="s">
        <v>23</v>
      </c>
      <c r="N114" t="str">
        <f>IF(Table1[[#This Row],[Age]]&lt;25,"&lt; 25",IF(Table1[[#This Row],[Age]]&lt;36,"25-35",IF(Table1[[#This Row],[Age]]&lt;51,"36-50",IF(Table1[[#This Row],[Age]]&lt;66,"51-65",IF(Table1[[#This Row],[Age]]&gt;65,"&gt;65","none")))))</f>
        <v>&lt; 25</v>
      </c>
      <c r="O114" t="str">
        <f>IF(AND(Table1[[#This Row],[Smoker]]="Yes",Table1[[#This Row],[Diabetic]]="Yes"),"Yes","No")</f>
        <v>No</v>
      </c>
      <c r="P114" t="str">
        <f>IF(OR(Table1[[#This Row],[Smoker]]="Yes",Table1[[#This Row],[Diabetic]]="Yes"),"Yes","No")</f>
        <v>Yes</v>
      </c>
      <c r="Q114" s="1" t="str">
        <f>IF(OR(Table1[[#This Row],[Systolic]]&gt;125,Table1[[#This Row],[Diastolic]]&gt;90),"High","Normal")</f>
        <v>High</v>
      </c>
      <c r="R114" s="1">
        <f>Table1[[#This Row],[Discharge_Date]]-Table1[[#This Row],[Admission_Date]]</f>
        <v>10</v>
      </c>
      <c r="S114" s="1"/>
    </row>
    <row r="115" spans="1:19" x14ac:dyDescent="0.3">
      <c r="A115" t="s">
        <v>136</v>
      </c>
      <c r="B115">
        <v>27</v>
      </c>
      <c r="C115" t="s">
        <v>12</v>
      </c>
      <c r="D115">
        <v>35.700000000000003</v>
      </c>
      <c r="E115">
        <v>143</v>
      </c>
      <c r="F115">
        <v>70</v>
      </c>
      <c r="G115" t="s">
        <v>13</v>
      </c>
      <c r="H115" t="s">
        <v>13</v>
      </c>
      <c r="I115" t="s">
        <v>32</v>
      </c>
      <c r="J115" s="2">
        <v>2620.6</v>
      </c>
      <c r="K115" s="3">
        <v>45655</v>
      </c>
      <c r="L115" s="3">
        <v>45664</v>
      </c>
      <c r="M115" t="s">
        <v>16</v>
      </c>
      <c r="N115" t="str">
        <f>IF(Table1[[#This Row],[Age]]&lt;25,"&lt; 25",IF(Table1[[#This Row],[Age]]&lt;36,"25-35",IF(Table1[[#This Row],[Age]]&lt;51,"36-50",IF(Table1[[#This Row],[Age]]&lt;66,"51-65",IF(Table1[[#This Row],[Age]]&gt;65,"&gt;65","none")))))</f>
        <v>25-35</v>
      </c>
      <c r="O115" t="str">
        <f>IF(AND(Table1[[#This Row],[Smoker]]="Yes",Table1[[#This Row],[Diabetic]]="Yes"),"Yes","No")</f>
        <v>No</v>
      </c>
      <c r="P115" t="str">
        <f>IF(OR(Table1[[#This Row],[Smoker]]="Yes",Table1[[#This Row],[Diabetic]]="Yes"),"Yes","No")</f>
        <v>No</v>
      </c>
      <c r="Q115" s="1" t="str">
        <f>IF(OR(Table1[[#This Row],[Systolic]]&gt;125,Table1[[#This Row],[Diastolic]]&gt;90),"High","Normal")</f>
        <v>High</v>
      </c>
      <c r="R115" s="1">
        <f>Table1[[#This Row],[Discharge_Date]]-Table1[[#This Row],[Admission_Date]]</f>
        <v>9</v>
      </c>
      <c r="S115" s="1"/>
    </row>
    <row r="116" spans="1:19" x14ac:dyDescent="0.3">
      <c r="A116" t="s">
        <v>137</v>
      </c>
      <c r="B116">
        <v>45</v>
      </c>
      <c r="C116" t="s">
        <v>18</v>
      </c>
      <c r="D116">
        <v>30.1</v>
      </c>
      <c r="E116">
        <v>168</v>
      </c>
      <c r="F116">
        <v>88</v>
      </c>
      <c r="G116" t="s">
        <v>13</v>
      </c>
      <c r="H116" t="s">
        <v>13</v>
      </c>
      <c r="I116" t="s">
        <v>32</v>
      </c>
      <c r="J116" s="2">
        <v>4848.54</v>
      </c>
      <c r="K116" s="3">
        <v>45837</v>
      </c>
      <c r="L116" s="3">
        <v>45844</v>
      </c>
      <c r="M116" t="s">
        <v>16</v>
      </c>
      <c r="N116" t="str">
        <f>IF(Table1[[#This Row],[Age]]&lt;25,"&lt; 25",IF(Table1[[#This Row],[Age]]&lt;36,"25-35",IF(Table1[[#This Row],[Age]]&lt;51,"36-50",IF(Table1[[#This Row],[Age]]&lt;66,"51-65",IF(Table1[[#This Row],[Age]]&gt;65,"&gt;65","none")))))</f>
        <v>36-50</v>
      </c>
      <c r="O116" t="str">
        <f>IF(AND(Table1[[#This Row],[Smoker]]="Yes",Table1[[#This Row],[Diabetic]]="Yes"),"Yes","No")</f>
        <v>No</v>
      </c>
      <c r="P116" t="str">
        <f>IF(OR(Table1[[#This Row],[Smoker]]="Yes",Table1[[#This Row],[Diabetic]]="Yes"),"Yes","No")</f>
        <v>No</v>
      </c>
      <c r="Q116" s="1" t="str">
        <f>IF(OR(Table1[[#This Row],[Systolic]]&gt;125,Table1[[#This Row],[Diastolic]]&gt;90),"High","Normal")</f>
        <v>High</v>
      </c>
      <c r="R116" s="1">
        <f>Table1[[#This Row],[Discharge_Date]]-Table1[[#This Row],[Admission_Date]]</f>
        <v>7</v>
      </c>
      <c r="S116" s="1"/>
    </row>
    <row r="117" spans="1:19" x14ac:dyDescent="0.3">
      <c r="A117" t="s">
        <v>138</v>
      </c>
      <c r="B117">
        <v>39</v>
      </c>
      <c r="C117" t="s">
        <v>12</v>
      </c>
      <c r="D117">
        <v>35.4</v>
      </c>
      <c r="E117">
        <v>180</v>
      </c>
      <c r="F117">
        <v>80</v>
      </c>
      <c r="G117" t="s">
        <v>13</v>
      </c>
      <c r="H117" t="s">
        <v>14</v>
      </c>
      <c r="I117" t="s">
        <v>32</v>
      </c>
      <c r="J117" s="2">
        <v>227.77</v>
      </c>
      <c r="K117" s="3">
        <v>45922</v>
      </c>
      <c r="L117" s="3">
        <v>45934</v>
      </c>
      <c r="M117" t="s">
        <v>19</v>
      </c>
      <c r="N117" t="str">
        <f>IF(Table1[[#This Row],[Age]]&lt;25,"&lt; 25",IF(Table1[[#This Row],[Age]]&lt;36,"25-35",IF(Table1[[#This Row],[Age]]&lt;51,"36-50",IF(Table1[[#This Row],[Age]]&lt;66,"51-65",IF(Table1[[#This Row],[Age]]&gt;65,"&gt;65","none")))))</f>
        <v>36-50</v>
      </c>
      <c r="O117" t="str">
        <f>IF(AND(Table1[[#This Row],[Smoker]]="Yes",Table1[[#This Row],[Diabetic]]="Yes"),"Yes","No")</f>
        <v>No</v>
      </c>
      <c r="P117" t="str">
        <f>IF(OR(Table1[[#This Row],[Smoker]]="Yes",Table1[[#This Row],[Diabetic]]="Yes"),"Yes","No")</f>
        <v>Yes</v>
      </c>
      <c r="Q117" s="1" t="str">
        <f>IF(OR(Table1[[#This Row],[Systolic]]&gt;125,Table1[[#This Row],[Diastolic]]&gt;90),"High","Normal")</f>
        <v>High</v>
      </c>
      <c r="R117" s="1">
        <f>Table1[[#This Row],[Discharge_Date]]-Table1[[#This Row],[Admission_Date]]</f>
        <v>12</v>
      </c>
      <c r="S117" s="1"/>
    </row>
    <row r="118" spans="1:19" x14ac:dyDescent="0.3">
      <c r="A118" t="s">
        <v>139</v>
      </c>
      <c r="B118">
        <v>33</v>
      </c>
      <c r="C118" t="s">
        <v>18</v>
      </c>
      <c r="D118">
        <v>24.4</v>
      </c>
      <c r="E118">
        <v>154</v>
      </c>
      <c r="F118">
        <v>106</v>
      </c>
      <c r="G118" t="s">
        <v>14</v>
      </c>
      <c r="H118" t="s">
        <v>13</v>
      </c>
      <c r="I118" t="s">
        <v>15</v>
      </c>
      <c r="J118" s="2">
        <v>1460.67</v>
      </c>
      <c r="K118" s="3">
        <v>45805</v>
      </c>
      <c r="L118" s="3">
        <v>45811</v>
      </c>
      <c r="M118" t="s">
        <v>19</v>
      </c>
      <c r="N118" t="str">
        <f>IF(Table1[[#This Row],[Age]]&lt;25,"&lt; 25",IF(Table1[[#This Row],[Age]]&lt;36,"25-35",IF(Table1[[#This Row],[Age]]&lt;51,"36-50",IF(Table1[[#This Row],[Age]]&lt;66,"51-65",IF(Table1[[#This Row],[Age]]&gt;65,"&gt;65","none")))))</f>
        <v>25-35</v>
      </c>
      <c r="O118" t="str">
        <f>IF(AND(Table1[[#This Row],[Smoker]]="Yes",Table1[[#This Row],[Diabetic]]="Yes"),"Yes","No")</f>
        <v>No</v>
      </c>
      <c r="P118" t="str">
        <f>IF(OR(Table1[[#This Row],[Smoker]]="Yes",Table1[[#This Row],[Diabetic]]="Yes"),"Yes","No")</f>
        <v>Yes</v>
      </c>
      <c r="Q118" s="1" t="str">
        <f>IF(OR(Table1[[#This Row],[Systolic]]&gt;125,Table1[[#This Row],[Diastolic]]&gt;90),"High","Normal")</f>
        <v>High</v>
      </c>
      <c r="R118" s="1">
        <f>Table1[[#This Row],[Discharge_Date]]-Table1[[#This Row],[Admission_Date]]</f>
        <v>6</v>
      </c>
      <c r="S118" s="1"/>
    </row>
    <row r="119" spans="1:19" x14ac:dyDescent="0.3">
      <c r="A119" t="s">
        <v>140</v>
      </c>
      <c r="B119">
        <v>78</v>
      </c>
      <c r="C119" t="s">
        <v>12</v>
      </c>
      <c r="D119">
        <v>33.200000000000003</v>
      </c>
      <c r="E119">
        <v>135</v>
      </c>
      <c r="F119">
        <v>80</v>
      </c>
      <c r="G119" t="s">
        <v>13</v>
      </c>
      <c r="H119" t="s">
        <v>13</v>
      </c>
      <c r="I119" t="s">
        <v>34</v>
      </c>
      <c r="J119" s="2">
        <v>2646.15</v>
      </c>
      <c r="K119" s="3">
        <v>45768</v>
      </c>
      <c r="L119" s="3">
        <v>45772</v>
      </c>
      <c r="M119" t="s">
        <v>16</v>
      </c>
      <c r="N119" t="str">
        <f>IF(Table1[[#This Row],[Age]]&lt;25,"&lt; 25",IF(Table1[[#This Row],[Age]]&lt;36,"25-35",IF(Table1[[#This Row],[Age]]&lt;51,"36-50",IF(Table1[[#This Row],[Age]]&lt;66,"51-65",IF(Table1[[#This Row],[Age]]&gt;65,"&gt;65","none")))))</f>
        <v>&gt;65</v>
      </c>
      <c r="O119" t="str">
        <f>IF(AND(Table1[[#This Row],[Smoker]]="Yes",Table1[[#This Row],[Diabetic]]="Yes"),"Yes","No")</f>
        <v>No</v>
      </c>
      <c r="P119" t="str">
        <f>IF(OR(Table1[[#This Row],[Smoker]]="Yes",Table1[[#This Row],[Diabetic]]="Yes"),"Yes","No")</f>
        <v>No</v>
      </c>
      <c r="Q119" s="1" t="str">
        <f>IF(OR(Table1[[#This Row],[Systolic]]&gt;125,Table1[[#This Row],[Diastolic]]&gt;90),"High","Normal")</f>
        <v>High</v>
      </c>
      <c r="R119" s="1">
        <f>Table1[[#This Row],[Discharge_Date]]-Table1[[#This Row],[Admission_Date]]</f>
        <v>4</v>
      </c>
      <c r="S119" s="1"/>
    </row>
    <row r="120" spans="1:19" x14ac:dyDescent="0.3">
      <c r="A120" t="s">
        <v>141</v>
      </c>
      <c r="B120">
        <v>22</v>
      </c>
      <c r="C120" t="s">
        <v>18</v>
      </c>
      <c r="D120">
        <v>28.2</v>
      </c>
      <c r="E120">
        <v>175</v>
      </c>
      <c r="F120">
        <v>109</v>
      </c>
      <c r="G120" t="s">
        <v>14</v>
      </c>
      <c r="H120" t="s">
        <v>13</v>
      </c>
      <c r="I120" t="s">
        <v>21</v>
      </c>
      <c r="J120" s="2">
        <v>4474.53</v>
      </c>
      <c r="K120" s="3">
        <v>45572</v>
      </c>
      <c r="L120" s="3">
        <v>45578</v>
      </c>
      <c r="M120" t="s">
        <v>19</v>
      </c>
      <c r="N120" t="str">
        <f>IF(Table1[[#This Row],[Age]]&lt;25,"&lt; 25",IF(Table1[[#This Row],[Age]]&lt;36,"25-35",IF(Table1[[#This Row],[Age]]&lt;51,"36-50",IF(Table1[[#This Row],[Age]]&lt;66,"51-65",IF(Table1[[#This Row],[Age]]&gt;65,"&gt;65","none")))))</f>
        <v>&lt; 25</v>
      </c>
      <c r="O120" t="str">
        <f>IF(AND(Table1[[#This Row],[Smoker]]="Yes",Table1[[#This Row],[Diabetic]]="Yes"),"Yes","No")</f>
        <v>No</v>
      </c>
      <c r="P120" t="str">
        <f>IF(OR(Table1[[#This Row],[Smoker]]="Yes",Table1[[#This Row],[Diabetic]]="Yes"),"Yes","No")</f>
        <v>Yes</v>
      </c>
      <c r="Q120" s="1" t="str">
        <f>IF(OR(Table1[[#This Row],[Systolic]]&gt;125,Table1[[#This Row],[Diastolic]]&gt;90),"High","Normal")</f>
        <v>High</v>
      </c>
      <c r="R120" s="1">
        <f>Table1[[#This Row],[Discharge_Date]]-Table1[[#This Row],[Admission_Date]]</f>
        <v>6</v>
      </c>
      <c r="S120" s="1"/>
    </row>
    <row r="121" spans="1:19" x14ac:dyDescent="0.3">
      <c r="A121" t="s">
        <v>142</v>
      </c>
      <c r="B121">
        <v>65</v>
      </c>
      <c r="C121" t="s">
        <v>12</v>
      </c>
      <c r="D121">
        <v>33.200000000000003</v>
      </c>
      <c r="E121">
        <v>155</v>
      </c>
      <c r="F121">
        <v>104</v>
      </c>
      <c r="G121" t="s">
        <v>14</v>
      </c>
      <c r="H121" t="s">
        <v>14</v>
      </c>
      <c r="I121" t="s">
        <v>15</v>
      </c>
      <c r="J121" s="2">
        <v>1080.54</v>
      </c>
      <c r="K121" s="3">
        <v>45901</v>
      </c>
      <c r="L121" s="3">
        <v>45912</v>
      </c>
      <c r="M121" t="s">
        <v>19</v>
      </c>
      <c r="N121" t="str">
        <f>IF(Table1[[#This Row],[Age]]&lt;25,"&lt; 25",IF(Table1[[#This Row],[Age]]&lt;36,"25-35",IF(Table1[[#This Row],[Age]]&lt;51,"36-50",IF(Table1[[#This Row],[Age]]&lt;66,"51-65",IF(Table1[[#This Row],[Age]]&gt;65,"&gt;65","none")))))</f>
        <v>51-65</v>
      </c>
      <c r="O121" t="str">
        <f>IF(AND(Table1[[#This Row],[Smoker]]="Yes",Table1[[#This Row],[Diabetic]]="Yes"),"Yes","No")</f>
        <v>Yes</v>
      </c>
      <c r="P121" t="str">
        <f>IF(OR(Table1[[#This Row],[Smoker]]="Yes",Table1[[#This Row],[Diabetic]]="Yes"),"Yes","No")</f>
        <v>Yes</v>
      </c>
      <c r="Q121" s="1" t="str">
        <f>IF(OR(Table1[[#This Row],[Systolic]]&gt;125,Table1[[#This Row],[Diastolic]]&gt;90),"High","Normal")</f>
        <v>High</v>
      </c>
      <c r="R121" s="1">
        <f>Table1[[#This Row],[Discharge_Date]]-Table1[[#This Row],[Admission_Date]]</f>
        <v>11</v>
      </c>
      <c r="S121" s="1"/>
    </row>
    <row r="122" spans="1:19" x14ac:dyDescent="0.3">
      <c r="A122" t="s">
        <v>143</v>
      </c>
      <c r="B122">
        <v>81</v>
      </c>
      <c r="C122" t="s">
        <v>12</v>
      </c>
      <c r="D122">
        <v>20.8</v>
      </c>
      <c r="E122">
        <v>141</v>
      </c>
      <c r="F122">
        <v>114</v>
      </c>
      <c r="G122" t="s">
        <v>14</v>
      </c>
      <c r="H122" t="s">
        <v>13</v>
      </c>
      <c r="I122" t="s">
        <v>25</v>
      </c>
      <c r="J122" s="2">
        <v>2909.27</v>
      </c>
      <c r="K122" s="3">
        <v>45897</v>
      </c>
      <c r="L122" s="3">
        <v>45909</v>
      </c>
      <c r="M122" t="s">
        <v>19</v>
      </c>
      <c r="N122" t="str">
        <f>IF(Table1[[#This Row],[Age]]&lt;25,"&lt; 25",IF(Table1[[#This Row],[Age]]&lt;36,"25-35",IF(Table1[[#This Row],[Age]]&lt;51,"36-50",IF(Table1[[#This Row],[Age]]&lt;66,"51-65",IF(Table1[[#This Row],[Age]]&gt;65,"&gt;65","none")))))</f>
        <v>&gt;65</v>
      </c>
      <c r="O122" t="str">
        <f>IF(AND(Table1[[#This Row],[Smoker]]="Yes",Table1[[#This Row],[Diabetic]]="Yes"),"Yes","No")</f>
        <v>No</v>
      </c>
      <c r="P122" t="str">
        <f>IF(OR(Table1[[#This Row],[Smoker]]="Yes",Table1[[#This Row],[Diabetic]]="Yes"),"Yes","No")</f>
        <v>Yes</v>
      </c>
      <c r="Q122" s="1" t="str">
        <f>IF(OR(Table1[[#This Row],[Systolic]]&gt;125,Table1[[#This Row],[Diastolic]]&gt;90),"High","Normal")</f>
        <v>High</v>
      </c>
      <c r="R122" s="1">
        <f>Table1[[#This Row],[Discharge_Date]]-Table1[[#This Row],[Admission_Date]]</f>
        <v>12</v>
      </c>
      <c r="S122" s="1"/>
    </row>
    <row r="123" spans="1:19" x14ac:dyDescent="0.3">
      <c r="A123" t="s">
        <v>144</v>
      </c>
      <c r="B123">
        <v>38</v>
      </c>
      <c r="C123" t="s">
        <v>12</v>
      </c>
      <c r="D123">
        <v>29.9</v>
      </c>
      <c r="E123">
        <v>127</v>
      </c>
      <c r="F123">
        <v>65</v>
      </c>
      <c r="G123" t="s">
        <v>14</v>
      </c>
      <c r="H123" t="s">
        <v>14</v>
      </c>
      <c r="I123" t="s">
        <v>25</v>
      </c>
      <c r="J123" s="2">
        <v>3017.77</v>
      </c>
      <c r="K123" s="3">
        <v>45770</v>
      </c>
      <c r="L123" s="3">
        <v>45771</v>
      </c>
      <c r="M123" t="s">
        <v>19</v>
      </c>
      <c r="N123" t="str">
        <f>IF(Table1[[#This Row],[Age]]&lt;25,"&lt; 25",IF(Table1[[#This Row],[Age]]&lt;36,"25-35",IF(Table1[[#This Row],[Age]]&lt;51,"36-50",IF(Table1[[#This Row],[Age]]&lt;66,"51-65",IF(Table1[[#This Row],[Age]]&gt;65,"&gt;65","none")))))</f>
        <v>36-50</v>
      </c>
      <c r="O123" t="str">
        <f>IF(AND(Table1[[#This Row],[Smoker]]="Yes",Table1[[#This Row],[Diabetic]]="Yes"),"Yes","No")</f>
        <v>Yes</v>
      </c>
      <c r="P123" t="str">
        <f>IF(OR(Table1[[#This Row],[Smoker]]="Yes",Table1[[#This Row],[Diabetic]]="Yes"),"Yes","No")</f>
        <v>Yes</v>
      </c>
      <c r="Q123" s="1" t="str">
        <f>IF(OR(Table1[[#This Row],[Systolic]]&gt;125,Table1[[#This Row],[Diastolic]]&gt;90),"High","Normal")</f>
        <v>High</v>
      </c>
      <c r="R123" s="1">
        <f>Table1[[#This Row],[Discharge_Date]]-Table1[[#This Row],[Admission_Date]]</f>
        <v>1</v>
      </c>
      <c r="S123" s="1"/>
    </row>
    <row r="124" spans="1:19" x14ac:dyDescent="0.3">
      <c r="A124" t="s">
        <v>145</v>
      </c>
      <c r="B124">
        <v>62</v>
      </c>
      <c r="C124" t="s">
        <v>12</v>
      </c>
      <c r="D124">
        <v>19.5</v>
      </c>
      <c r="E124">
        <v>97</v>
      </c>
      <c r="F124">
        <v>118</v>
      </c>
      <c r="G124" t="s">
        <v>13</v>
      </c>
      <c r="H124" t="s">
        <v>14</v>
      </c>
      <c r="I124" t="s">
        <v>32</v>
      </c>
      <c r="J124" s="2">
        <v>2244.23</v>
      </c>
      <c r="K124" s="3">
        <v>45842</v>
      </c>
      <c r="L124" s="3">
        <v>45853</v>
      </c>
      <c r="M124" t="s">
        <v>23</v>
      </c>
      <c r="N124" t="str">
        <f>IF(Table1[[#This Row],[Age]]&lt;25,"&lt; 25",IF(Table1[[#This Row],[Age]]&lt;36,"25-35",IF(Table1[[#This Row],[Age]]&lt;51,"36-50",IF(Table1[[#This Row],[Age]]&lt;66,"51-65",IF(Table1[[#This Row],[Age]]&gt;65,"&gt;65","none")))))</f>
        <v>51-65</v>
      </c>
      <c r="O124" t="str">
        <f>IF(AND(Table1[[#This Row],[Smoker]]="Yes",Table1[[#This Row],[Diabetic]]="Yes"),"Yes","No")</f>
        <v>No</v>
      </c>
      <c r="P124" t="str">
        <f>IF(OR(Table1[[#This Row],[Smoker]]="Yes",Table1[[#This Row],[Diabetic]]="Yes"),"Yes","No")</f>
        <v>Yes</v>
      </c>
      <c r="Q124" s="1" t="str">
        <f>IF(OR(Table1[[#This Row],[Systolic]]&gt;125,Table1[[#This Row],[Diastolic]]&gt;90),"High","Normal")</f>
        <v>High</v>
      </c>
      <c r="R124" s="1">
        <f>Table1[[#This Row],[Discharge_Date]]-Table1[[#This Row],[Admission_Date]]</f>
        <v>11</v>
      </c>
      <c r="S124" s="1"/>
    </row>
    <row r="125" spans="1:19" x14ac:dyDescent="0.3">
      <c r="A125" t="s">
        <v>146</v>
      </c>
      <c r="B125">
        <v>86</v>
      </c>
      <c r="C125" t="s">
        <v>12</v>
      </c>
      <c r="D125">
        <v>36.700000000000003</v>
      </c>
      <c r="E125">
        <v>106</v>
      </c>
      <c r="F125">
        <v>80</v>
      </c>
      <c r="G125" t="s">
        <v>13</v>
      </c>
      <c r="H125" t="s">
        <v>14</v>
      </c>
      <c r="I125" t="s">
        <v>34</v>
      </c>
      <c r="J125" s="2">
        <v>3713.04</v>
      </c>
      <c r="K125" s="3">
        <v>45820</v>
      </c>
      <c r="L125" s="3">
        <v>45831</v>
      </c>
      <c r="M125" t="s">
        <v>23</v>
      </c>
      <c r="N125" t="str">
        <f>IF(Table1[[#This Row],[Age]]&lt;25,"&lt; 25",IF(Table1[[#This Row],[Age]]&lt;36,"25-35",IF(Table1[[#This Row],[Age]]&lt;51,"36-50",IF(Table1[[#This Row],[Age]]&lt;66,"51-65",IF(Table1[[#This Row],[Age]]&gt;65,"&gt;65","none")))))</f>
        <v>&gt;65</v>
      </c>
      <c r="O125" t="str">
        <f>IF(AND(Table1[[#This Row],[Smoker]]="Yes",Table1[[#This Row],[Diabetic]]="Yes"),"Yes","No")</f>
        <v>No</v>
      </c>
      <c r="P125" t="str">
        <f>IF(OR(Table1[[#This Row],[Smoker]]="Yes",Table1[[#This Row],[Diabetic]]="Yes"),"Yes","No")</f>
        <v>Yes</v>
      </c>
      <c r="Q125" s="1" t="str">
        <f>IF(OR(Table1[[#This Row],[Systolic]]&gt;125,Table1[[#This Row],[Diastolic]]&gt;90),"High","Normal")</f>
        <v>Normal</v>
      </c>
      <c r="R125" s="1">
        <f>Table1[[#This Row],[Discharge_Date]]-Table1[[#This Row],[Admission_Date]]</f>
        <v>11</v>
      </c>
      <c r="S125" s="1"/>
    </row>
    <row r="126" spans="1:19" x14ac:dyDescent="0.3">
      <c r="A126" t="s">
        <v>147</v>
      </c>
      <c r="B126">
        <v>49</v>
      </c>
      <c r="C126" t="s">
        <v>18</v>
      </c>
      <c r="D126">
        <v>24.9</v>
      </c>
      <c r="E126">
        <v>103</v>
      </c>
      <c r="F126">
        <v>90</v>
      </c>
      <c r="G126" t="s">
        <v>14</v>
      </c>
      <c r="H126" t="s">
        <v>13</v>
      </c>
      <c r="I126" t="s">
        <v>34</v>
      </c>
      <c r="J126" s="2">
        <v>3246.6</v>
      </c>
      <c r="K126" s="3">
        <v>45718</v>
      </c>
      <c r="L126" s="3">
        <v>45730</v>
      </c>
      <c r="M126" t="s">
        <v>19</v>
      </c>
      <c r="N126" t="str">
        <f>IF(Table1[[#This Row],[Age]]&lt;25,"&lt; 25",IF(Table1[[#This Row],[Age]]&lt;36,"25-35",IF(Table1[[#This Row],[Age]]&lt;51,"36-50",IF(Table1[[#This Row],[Age]]&lt;66,"51-65",IF(Table1[[#This Row],[Age]]&gt;65,"&gt;65","none")))))</f>
        <v>36-50</v>
      </c>
      <c r="O126" t="str">
        <f>IF(AND(Table1[[#This Row],[Smoker]]="Yes",Table1[[#This Row],[Diabetic]]="Yes"),"Yes","No")</f>
        <v>No</v>
      </c>
      <c r="P126" t="str">
        <f>IF(OR(Table1[[#This Row],[Smoker]]="Yes",Table1[[#This Row],[Diabetic]]="Yes"),"Yes","No")</f>
        <v>Yes</v>
      </c>
      <c r="Q126" s="1" t="str">
        <f>IF(OR(Table1[[#This Row],[Systolic]]&gt;125,Table1[[#This Row],[Diastolic]]&gt;90),"High","Normal")</f>
        <v>Normal</v>
      </c>
      <c r="R126" s="1">
        <f>Table1[[#This Row],[Discharge_Date]]-Table1[[#This Row],[Admission_Date]]</f>
        <v>12</v>
      </c>
      <c r="S126" s="1"/>
    </row>
    <row r="127" spans="1:19" x14ac:dyDescent="0.3">
      <c r="A127" t="s">
        <v>148</v>
      </c>
      <c r="B127">
        <v>39</v>
      </c>
      <c r="C127" t="s">
        <v>18</v>
      </c>
      <c r="D127">
        <v>27.3</v>
      </c>
      <c r="E127">
        <v>172</v>
      </c>
      <c r="F127">
        <v>61</v>
      </c>
      <c r="G127" t="s">
        <v>13</v>
      </c>
      <c r="H127" t="s">
        <v>14</v>
      </c>
      <c r="I127" t="s">
        <v>25</v>
      </c>
      <c r="J127" s="2">
        <v>285.58</v>
      </c>
      <c r="K127" s="3">
        <v>45896</v>
      </c>
      <c r="L127" s="3">
        <v>45908</v>
      </c>
      <c r="M127" t="s">
        <v>19</v>
      </c>
      <c r="N127" t="str">
        <f>IF(Table1[[#This Row],[Age]]&lt;25,"&lt; 25",IF(Table1[[#This Row],[Age]]&lt;36,"25-35",IF(Table1[[#This Row],[Age]]&lt;51,"36-50",IF(Table1[[#This Row],[Age]]&lt;66,"51-65",IF(Table1[[#This Row],[Age]]&gt;65,"&gt;65","none")))))</f>
        <v>36-50</v>
      </c>
      <c r="O127" t="str">
        <f>IF(AND(Table1[[#This Row],[Smoker]]="Yes",Table1[[#This Row],[Diabetic]]="Yes"),"Yes","No")</f>
        <v>No</v>
      </c>
      <c r="P127" t="str">
        <f>IF(OR(Table1[[#This Row],[Smoker]]="Yes",Table1[[#This Row],[Diabetic]]="Yes"),"Yes","No")</f>
        <v>Yes</v>
      </c>
      <c r="Q127" s="1" t="str">
        <f>IF(OR(Table1[[#This Row],[Systolic]]&gt;125,Table1[[#This Row],[Diastolic]]&gt;90),"High","Normal")</f>
        <v>High</v>
      </c>
      <c r="R127" s="1">
        <f>Table1[[#This Row],[Discharge_Date]]-Table1[[#This Row],[Admission_Date]]</f>
        <v>12</v>
      </c>
      <c r="S127" s="1"/>
    </row>
    <row r="128" spans="1:19" x14ac:dyDescent="0.3">
      <c r="A128" t="s">
        <v>149</v>
      </c>
      <c r="B128">
        <v>26</v>
      </c>
      <c r="C128" t="s">
        <v>18</v>
      </c>
      <c r="D128">
        <v>32.200000000000003</v>
      </c>
      <c r="E128">
        <v>120</v>
      </c>
      <c r="F128">
        <v>83</v>
      </c>
      <c r="G128" t="s">
        <v>14</v>
      </c>
      <c r="H128" t="s">
        <v>14</v>
      </c>
      <c r="I128" t="s">
        <v>34</v>
      </c>
      <c r="J128" s="2">
        <v>2154.2399999999998</v>
      </c>
      <c r="K128" s="3">
        <v>45837</v>
      </c>
      <c r="L128" s="3">
        <v>45850</v>
      </c>
      <c r="M128" t="s">
        <v>23</v>
      </c>
      <c r="N128" t="str">
        <f>IF(Table1[[#This Row],[Age]]&lt;25,"&lt; 25",IF(Table1[[#This Row],[Age]]&lt;36,"25-35",IF(Table1[[#This Row],[Age]]&lt;51,"36-50",IF(Table1[[#This Row],[Age]]&lt;66,"51-65",IF(Table1[[#This Row],[Age]]&gt;65,"&gt;65","none")))))</f>
        <v>25-35</v>
      </c>
      <c r="O128" t="str">
        <f>IF(AND(Table1[[#This Row],[Smoker]]="Yes",Table1[[#This Row],[Diabetic]]="Yes"),"Yes","No")</f>
        <v>Yes</v>
      </c>
      <c r="P128" t="str">
        <f>IF(OR(Table1[[#This Row],[Smoker]]="Yes",Table1[[#This Row],[Diabetic]]="Yes"),"Yes","No")</f>
        <v>Yes</v>
      </c>
      <c r="Q128" s="1" t="str">
        <f>IF(OR(Table1[[#This Row],[Systolic]]&gt;125,Table1[[#This Row],[Diastolic]]&gt;90),"High","Normal")</f>
        <v>Normal</v>
      </c>
      <c r="R128" s="1">
        <f>Table1[[#This Row],[Discharge_Date]]-Table1[[#This Row],[Admission_Date]]</f>
        <v>13</v>
      </c>
      <c r="S128" s="1"/>
    </row>
    <row r="129" spans="1:19" x14ac:dyDescent="0.3">
      <c r="A129" t="s">
        <v>150</v>
      </c>
      <c r="B129">
        <v>57</v>
      </c>
      <c r="C129" t="s">
        <v>12</v>
      </c>
      <c r="D129">
        <v>34.6</v>
      </c>
      <c r="E129">
        <v>121</v>
      </c>
      <c r="F129">
        <v>78</v>
      </c>
      <c r="G129" t="s">
        <v>14</v>
      </c>
      <c r="H129" t="s">
        <v>14</v>
      </c>
      <c r="I129" t="s">
        <v>15</v>
      </c>
      <c r="J129" s="2">
        <v>4206.99</v>
      </c>
      <c r="K129" s="3">
        <v>45738</v>
      </c>
      <c r="L129" s="3">
        <v>45750</v>
      </c>
      <c r="M129" t="s">
        <v>16</v>
      </c>
      <c r="N129" t="str">
        <f>IF(Table1[[#This Row],[Age]]&lt;25,"&lt; 25",IF(Table1[[#This Row],[Age]]&lt;36,"25-35",IF(Table1[[#This Row],[Age]]&lt;51,"36-50",IF(Table1[[#This Row],[Age]]&lt;66,"51-65",IF(Table1[[#This Row],[Age]]&gt;65,"&gt;65","none")))))</f>
        <v>51-65</v>
      </c>
      <c r="O129" t="str">
        <f>IF(AND(Table1[[#This Row],[Smoker]]="Yes",Table1[[#This Row],[Diabetic]]="Yes"),"Yes","No")</f>
        <v>Yes</v>
      </c>
      <c r="P129" t="str">
        <f>IF(OR(Table1[[#This Row],[Smoker]]="Yes",Table1[[#This Row],[Diabetic]]="Yes"),"Yes","No")</f>
        <v>Yes</v>
      </c>
      <c r="Q129" s="1" t="str">
        <f>IF(OR(Table1[[#This Row],[Systolic]]&gt;125,Table1[[#This Row],[Diastolic]]&gt;90),"High","Normal")</f>
        <v>Normal</v>
      </c>
      <c r="R129" s="1">
        <f>Table1[[#This Row],[Discharge_Date]]-Table1[[#This Row],[Admission_Date]]</f>
        <v>12</v>
      </c>
      <c r="S129" s="1"/>
    </row>
    <row r="130" spans="1:19" x14ac:dyDescent="0.3">
      <c r="A130" t="s">
        <v>151</v>
      </c>
      <c r="B130">
        <v>44</v>
      </c>
      <c r="C130" t="s">
        <v>12</v>
      </c>
      <c r="D130">
        <v>24</v>
      </c>
      <c r="E130">
        <v>107</v>
      </c>
      <c r="F130">
        <v>96</v>
      </c>
      <c r="G130" t="s">
        <v>13</v>
      </c>
      <c r="H130" t="s">
        <v>13</v>
      </c>
      <c r="I130" t="s">
        <v>34</v>
      </c>
      <c r="J130" s="2">
        <v>229.49</v>
      </c>
      <c r="K130" s="3">
        <v>45684</v>
      </c>
      <c r="L130" s="3">
        <v>45685</v>
      </c>
      <c r="M130" t="s">
        <v>19</v>
      </c>
      <c r="N130" t="str">
        <f>IF(Table1[[#This Row],[Age]]&lt;25,"&lt; 25",IF(Table1[[#This Row],[Age]]&lt;36,"25-35",IF(Table1[[#This Row],[Age]]&lt;51,"36-50",IF(Table1[[#This Row],[Age]]&lt;66,"51-65",IF(Table1[[#This Row],[Age]]&gt;65,"&gt;65","none")))))</f>
        <v>36-50</v>
      </c>
      <c r="O130" t="str">
        <f>IF(AND(Table1[[#This Row],[Smoker]]="Yes",Table1[[#This Row],[Diabetic]]="Yes"),"Yes","No")</f>
        <v>No</v>
      </c>
      <c r="P130" t="str">
        <f>IF(OR(Table1[[#This Row],[Smoker]]="Yes",Table1[[#This Row],[Diabetic]]="Yes"),"Yes","No")</f>
        <v>No</v>
      </c>
      <c r="Q130" s="1" t="str">
        <f>IF(OR(Table1[[#This Row],[Systolic]]&gt;125,Table1[[#This Row],[Diastolic]]&gt;90),"High","Normal")</f>
        <v>High</v>
      </c>
      <c r="R130" s="1">
        <f>Table1[[#This Row],[Discharge_Date]]-Table1[[#This Row],[Admission_Date]]</f>
        <v>1</v>
      </c>
      <c r="S130" s="1"/>
    </row>
    <row r="131" spans="1:19" x14ac:dyDescent="0.3">
      <c r="A131" t="s">
        <v>152</v>
      </c>
      <c r="B131">
        <v>89</v>
      </c>
      <c r="C131" t="s">
        <v>18</v>
      </c>
      <c r="D131">
        <v>39.299999999999997</v>
      </c>
      <c r="E131">
        <v>170</v>
      </c>
      <c r="F131">
        <v>104</v>
      </c>
      <c r="G131" t="s">
        <v>14</v>
      </c>
      <c r="H131" t="s">
        <v>14</v>
      </c>
      <c r="I131" t="s">
        <v>25</v>
      </c>
      <c r="J131" s="2">
        <v>755.7</v>
      </c>
      <c r="K131" s="3">
        <v>45698</v>
      </c>
      <c r="L131" s="3">
        <v>45705</v>
      </c>
      <c r="M131" t="s">
        <v>19</v>
      </c>
      <c r="N131" t="str">
        <f>IF(Table1[[#This Row],[Age]]&lt;25,"&lt; 25",IF(Table1[[#This Row],[Age]]&lt;36,"25-35",IF(Table1[[#This Row],[Age]]&lt;51,"36-50",IF(Table1[[#This Row],[Age]]&lt;66,"51-65",IF(Table1[[#This Row],[Age]]&gt;65,"&gt;65","none")))))</f>
        <v>&gt;65</v>
      </c>
      <c r="O131" t="str">
        <f>IF(AND(Table1[[#This Row],[Smoker]]="Yes",Table1[[#This Row],[Diabetic]]="Yes"),"Yes","No")</f>
        <v>Yes</v>
      </c>
      <c r="P131" t="str">
        <f>IF(OR(Table1[[#This Row],[Smoker]]="Yes",Table1[[#This Row],[Diabetic]]="Yes"),"Yes","No")</f>
        <v>Yes</v>
      </c>
      <c r="Q131" s="1" t="str">
        <f>IF(OR(Table1[[#This Row],[Systolic]]&gt;125,Table1[[#This Row],[Diastolic]]&gt;90),"High","Normal")</f>
        <v>High</v>
      </c>
      <c r="R131" s="1">
        <f>Table1[[#This Row],[Discharge_Date]]-Table1[[#This Row],[Admission_Date]]</f>
        <v>7</v>
      </c>
      <c r="S131" s="1"/>
    </row>
    <row r="132" spans="1:19" x14ac:dyDescent="0.3">
      <c r="A132" t="s">
        <v>153</v>
      </c>
      <c r="B132">
        <v>88</v>
      </c>
      <c r="C132" t="s">
        <v>12</v>
      </c>
      <c r="D132">
        <v>27.9</v>
      </c>
      <c r="E132">
        <v>111</v>
      </c>
      <c r="F132">
        <v>95</v>
      </c>
      <c r="G132" t="s">
        <v>14</v>
      </c>
      <c r="H132" t="s">
        <v>13</v>
      </c>
      <c r="I132" t="s">
        <v>21</v>
      </c>
      <c r="J132" s="2">
        <v>152.71</v>
      </c>
      <c r="K132" s="3">
        <v>45748</v>
      </c>
      <c r="L132" s="3">
        <v>45751</v>
      </c>
      <c r="M132" t="s">
        <v>19</v>
      </c>
      <c r="N132" t="str">
        <f>IF(Table1[[#This Row],[Age]]&lt;25,"&lt; 25",IF(Table1[[#This Row],[Age]]&lt;36,"25-35",IF(Table1[[#This Row],[Age]]&lt;51,"36-50",IF(Table1[[#This Row],[Age]]&lt;66,"51-65",IF(Table1[[#This Row],[Age]]&gt;65,"&gt;65","none")))))</f>
        <v>&gt;65</v>
      </c>
      <c r="O132" t="str">
        <f>IF(AND(Table1[[#This Row],[Smoker]]="Yes",Table1[[#This Row],[Diabetic]]="Yes"),"Yes","No")</f>
        <v>No</v>
      </c>
      <c r="P132" t="str">
        <f>IF(OR(Table1[[#This Row],[Smoker]]="Yes",Table1[[#This Row],[Diabetic]]="Yes"),"Yes","No")</f>
        <v>Yes</v>
      </c>
      <c r="Q132" s="1" t="str">
        <f>IF(OR(Table1[[#This Row],[Systolic]]&gt;125,Table1[[#This Row],[Diastolic]]&gt;90),"High","Normal")</f>
        <v>High</v>
      </c>
      <c r="R132" s="1">
        <f>Table1[[#This Row],[Discharge_Date]]-Table1[[#This Row],[Admission_Date]]</f>
        <v>3</v>
      </c>
      <c r="S132" s="1"/>
    </row>
    <row r="133" spans="1:19" x14ac:dyDescent="0.3">
      <c r="A133" t="s">
        <v>154</v>
      </c>
      <c r="B133">
        <v>73</v>
      </c>
      <c r="C133" t="s">
        <v>12</v>
      </c>
      <c r="D133">
        <v>25.1</v>
      </c>
      <c r="E133">
        <v>177</v>
      </c>
      <c r="F133">
        <v>66</v>
      </c>
      <c r="G133" t="s">
        <v>13</v>
      </c>
      <c r="H133" t="s">
        <v>13</v>
      </c>
      <c r="I133" t="s">
        <v>15</v>
      </c>
      <c r="J133" s="2">
        <v>1054.43</v>
      </c>
      <c r="K133" s="3">
        <v>45747</v>
      </c>
      <c r="L133" s="3">
        <v>45754</v>
      </c>
      <c r="M133" t="s">
        <v>23</v>
      </c>
      <c r="N133" t="str">
        <f>IF(Table1[[#This Row],[Age]]&lt;25,"&lt; 25",IF(Table1[[#This Row],[Age]]&lt;36,"25-35",IF(Table1[[#This Row],[Age]]&lt;51,"36-50",IF(Table1[[#This Row],[Age]]&lt;66,"51-65",IF(Table1[[#This Row],[Age]]&gt;65,"&gt;65","none")))))</f>
        <v>&gt;65</v>
      </c>
      <c r="O133" t="str">
        <f>IF(AND(Table1[[#This Row],[Smoker]]="Yes",Table1[[#This Row],[Diabetic]]="Yes"),"Yes","No")</f>
        <v>No</v>
      </c>
      <c r="P133" t="str">
        <f>IF(OR(Table1[[#This Row],[Smoker]]="Yes",Table1[[#This Row],[Diabetic]]="Yes"),"Yes","No")</f>
        <v>No</v>
      </c>
      <c r="Q133" s="1" t="str">
        <f>IF(OR(Table1[[#This Row],[Systolic]]&gt;125,Table1[[#This Row],[Diastolic]]&gt;90),"High","Normal")</f>
        <v>High</v>
      </c>
      <c r="R133" s="1">
        <f>Table1[[#This Row],[Discharge_Date]]-Table1[[#This Row],[Admission_Date]]</f>
        <v>7</v>
      </c>
      <c r="S133" s="1"/>
    </row>
    <row r="134" spans="1:19" x14ac:dyDescent="0.3">
      <c r="A134" t="s">
        <v>155</v>
      </c>
      <c r="B134">
        <v>85</v>
      </c>
      <c r="C134" t="s">
        <v>12</v>
      </c>
      <c r="D134">
        <v>39.9</v>
      </c>
      <c r="E134">
        <v>119</v>
      </c>
      <c r="F134">
        <v>95</v>
      </c>
      <c r="G134" t="s">
        <v>14</v>
      </c>
      <c r="H134" t="s">
        <v>13</v>
      </c>
      <c r="I134" t="s">
        <v>32</v>
      </c>
      <c r="J134" s="2">
        <v>163.19</v>
      </c>
      <c r="K134" s="3">
        <v>45583</v>
      </c>
      <c r="L134" s="3">
        <v>45596</v>
      </c>
      <c r="M134" t="s">
        <v>19</v>
      </c>
      <c r="N134" t="str">
        <f>IF(Table1[[#This Row],[Age]]&lt;25,"&lt; 25",IF(Table1[[#This Row],[Age]]&lt;36,"25-35",IF(Table1[[#This Row],[Age]]&lt;51,"36-50",IF(Table1[[#This Row],[Age]]&lt;66,"51-65",IF(Table1[[#This Row],[Age]]&gt;65,"&gt;65","none")))))</f>
        <v>&gt;65</v>
      </c>
      <c r="O134" t="str">
        <f>IF(AND(Table1[[#This Row],[Smoker]]="Yes",Table1[[#This Row],[Diabetic]]="Yes"),"Yes","No")</f>
        <v>No</v>
      </c>
      <c r="P134" t="str">
        <f>IF(OR(Table1[[#This Row],[Smoker]]="Yes",Table1[[#This Row],[Diabetic]]="Yes"),"Yes","No")</f>
        <v>Yes</v>
      </c>
      <c r="Q134" s="1" t="str">
        <f>IF(OR(Table1[[#This Row],[Systolic]]&gt;125,Table1[[#This Row],[Diastolic]]&gt;90),"High","Normal")</f>
        <v>High</v>
      </c>
      <c r="R134" s="1">
        <f>Table1[[#This Row],[Discharge_Date]]-Table1[[#This Row],[Admission_Date]]</f>
        <v>13</v>
      </c>
      <c r="S134" s="1"/>
    </row>
    <row r="135" spans="1:19" x14ac:dyDescent="0.3">
      <c r="A135" t="s">
        <v>156</v>
      </c>
      <c r="B135">
        <v>79</v>
      </c>
      <c r="C135" t="s">
        <v>12</v>
      </c>
      <c r="D135">
        <v>30.8</v>
      </c>
      <c r="E135">
        <v>147</v>
      </c>
      <c r="F135">
        <v>105</v>
      </c>
      <c r="G135" t="s">
        <v>14</v>
      </c>
      <c r="H135" t="s">
        <v>14</v>
      </c>
      <c r="I135" t="s">
        <v>21</v>
      </c>
      <c r="J135" s="2">
        <v>2924.32</v>
      </c>
      <c r="K135" s="3">
        <v>45615</v>
      </c>
      <c r="L135" s="3">
        <v>45620</v>
      </c>
      <c r="M135" t="s">
        <v>19</v>
      </c>
      <c r="N135" t="str">
        <f>IF(Table1[[#This Row],[Age]]&lt;25,"&lt; 25",IF(Table1[[#This Row],[Age]]&lt;36,"25-35",IF(Table1[[#This Row],[Age]]&lt;51,"36-50",IF(Table1[[#This Row],[Age]]&lt;66,"51-65",IF(Table1[[#This Row],[Age]]&gt;65,"&gt;65","none")))))</f>
        <v>&gt;65</v>
      </c>
      <c r="O135" t="str">
        <f>IF(AND(Table1[[#This Row],[Smoker]]="Yes",Table1[[#This Row],[Diabetic]]="Yes"),"Yes","No")</f>
        <v>Yes</v>
      </c>
      <c r="P135" t="str">
        <f>IF(OR(Table1[[#This Row],[Smoker]]="Yes",Table1[[#This Row],[Diabetic]]="Yes"),"Yes","No")</f>
        <v>Yes</v>
      </c>
      <c r="Q135" s="1" t="str">
        <f>IF(OR(Table1[[#This Row],[Systolic]]&gt;125,Table1[[#This Row],[Diastolic]]&gt;90),"High","Normal")</f>
        <v>High</v>
      </c>
      <c r="R135" s="1">
        <f>Table1[[#This Row],[Discharge_Date]]-Table1[[#This Row],[Admission_Date]]</f>
        <v>5</v>
      </c>
      <c r="S135" s="1"/>
    </row>
    <row r="136" spans="1:19" x14ac:dyDescent="0.3">
      <c r="A136" t="s">
        <v>157</v>
      </c>
      <c r="B136">
        <v>79</v>
      </c>
      <c r="C136" t="s">
        <v>12</v>
      </c>
      <c r="D136">
        <v>26.2</v>
      </c>
      <c r="E136">
        <v>132</v>
      </c>
      <c r="F136">
        <v>98</v>
      </c>
      <c r="G136" t="s">
        <v>13</v>
      </c>
      <c r="H136" t="s">
        <v>13</v>
      </c>
      <c r="I136" t="s">
        <v>15</v>
      </c>
      <c r="J136" s="2">
        <v>2691.63</v>
      </c>
      <c r="K136" s="3">
        <v>45741</v>
      </c>
      <c r="L136" s="3">
        <v>45747</v>
      </c>
      <c r="M136" t="s">
        <v>23</v>
      </c>
      <c r="N136" t="str">
        <f>IF(Table1[[#This Row],[Age]]&lt;25,"&lt; 25",IF(Table1[[#This Row],[Age]]&lt;36,"25-35",IF(Table1[[#This Row],[Age]]&lt;51,"36-50",IF(Table1[[#This Row],[Age]]&lt;66,"51-65",IF(Table1[[#This Row],[Age]]&gt;65,"&gt;65","none")))))</f>
        <v>&gt;65</v>
      </c>
      <c r="O136" t="str">
        <f>IF(AND(Table1[[#This Row],[Smoker]]="Yes",Table1[[#This Row],[Diabetic]]="Yes"),"Yes","No")</f>
        <v>No</v>
      </c>
      <c r="P136" t="str">
        <f>IF(OR(Table1[[#This Row],[Smoker]]="Yes",Table1[[#This Row],[Diabetic]]="Yes"),"Yes","No")</f>
        <v>No</v>
      </c>
      <c r="Q136" s="1" t="str">
        <f>IF(OR(Table1[[#This Row],[Systolic]]&gt;125,Table1[[#This Row],[Diastolic]]&gt;90),"High","Normal")</f>
        <v>High</v>
      </c>
      <c r="R136" s="1">
        <f>Table1[[#This Row],[Discharge_Date]]-Table1[[#This Row],[Admission_Date]]</f>
        <v>6</v>
      </c>
      <c r="S136" s="1"/>
    </row>
    <row r="137" spans="1:19" x14ac:dyDescent="0.3">
      <c r="A137" t="s">
        <v>158</v>
      </c>
      <c r="B137">
        <v>47</v>
      </c>
      <c r="C137" t="s">
        <v>12</v>
      </c>
      <c r="D137">
        <v>34.299999999999997</v>
      </c>
      <c r="E137">
        <v>113</v>
      </c>
      <c r="F137">
        <v>119</v>
      </c>
      <c r="G137" t="s">
        <v>13</v>
      </c>
      <c r="H137" t="s">
        <v>13</v>
      </c>
      <c r="I137" t="s">
        <v>21</v>
      </c>
      <c r="J137" s="2">
        <v>3583.98</v>
      </c>
      <c r="K137" s="3">
        <v>45588</v>
      </c>
      <c r="L137" s="3">
        <v>45597</v>
      </c>
      <c r="M137" t="s">
        <v>19</v>
      </c>
      <c r="N137" t="str">
        <f>IF(Table1[[#This Row],[Age]]&lt;25,"&lt; 25",IF(Table1[[#This Row],[Age]]&lt;36,"25-35",IF(Table1[[#This Row],[Age]]&lt;51,"36-50",IF(Table1[[#This Row],[Age]]&lt;66,"51-65",IF(Table1[[#This Row],[Age]]&gt;65,"&gt;65","none")))))</f>
        <v>36-50</v>
      </c>
      <c r="O137" t="str">
        <f>IF(AND(Table1[[#This Row],[Smoker]]="Yes",Table1[[#This Row],[Diabetic]]="Yes"),"Yes","No")</f>
        <v>No</v>
      </c>
      <c r="P137" t="str">
        <f>IF(OR(Table1[[#This Row],[Smoker]]="Yes",Table1[[#This Row],[Diabetic]]="Yes"),"Yes","No")</f>
        <v>No</v>
      </c>
      <c r="Q137" s="1" t="str">
        <f>IF(OR(Table1[[#This Row],[Systolic]]&gt;125,Table1[[#This Row],[Diastolic]]&gt;90),"High","Normal")</f>
        <v>High</v>
      </c>
      <c r="R137" s="1">
        <f>Table1[[#This Row],[Discharge_Date]]-Table1[[#This Row],[Admission_Date]]</f>
        <v>9</v>
      </c>
      <c r="S137" s="1"/>
    </row>
    <row r="138" spans="1:19" x14ac:dyDescent="0.3">
      <c r="A138" t="s">
        <v>159</v>
      </c>
      <c r="B138">
        <v>86</v>
      </c>
      <c r="C138" t="s">
        <v>12</v>
      </c>
      <c r="D138">
        <v>26.4</v>
      </c>
      <c r="E138">
        <v>167</v>
      </c>
      <c r="F138">
        <v>64</v>
      </c>
      <c r="G138" t="s">
        <v>13</v>
      </c>
      <c r="H138" t="s">
        <v>13</v>
      </c>
      <c r="I138" t="s">
        <v>34</v>
      </c>
      <c r="J138" s="2">
        <v>4390.37</v>
      </c>
      <c r="K138" s="3">
        <v>45868</v>
      </c>
      <c r="L138" s="3">
        <v>45870</v>
      </c>
      <c r="M138" t="s">
        <v>23</v>
      </c>
      <c r="N138" t="str">
        <f>IF(Table1[[#This Row],[Age]]&lt;25,"&lt; 25",IF(Table1[[#This Row],[Age]]&lt;36,"25-35",IF(Table1[[#This Row],[Age]]&lt;51,"36-50",IF(Table1[[#This Row],[Age]]&lt;66,"51-65",IF(Table1[[#This Row],[Age]]&gt;65,"&gt;65","none")))))</f>
        <v>&gt;65</v>
      </c>
      <c r="O138" t="str">
        <f>IF(AND(Table1[[#This Row],[Smoker]]="Yes",Table1[[#This Row],[Diabetic]]="Yes"),"Yes","No")</f>
        <v>No</v>
      </c>
      <c r="P138" t="str">
        <f>IF(OR(Table1[[#This Row],[Smoker]]="Yes",Table1[[#This Row],[Diabetic]]="Yes"),"Yes","No")</f>
        <v>No</v>
      </c>
      <c r="Q138" s="1" t="str">
        <f>IF(OR(Table1[[#This Row],[Systolic]]&gt;125,Table1[[#This Row],[Diastolic]]&gt;90),"High","Normal")</f>
        <v>High</v>
      </c>
      <c r="R138" s="1">
        <f>Table1[[#This Row],[Discharge_Date]]-Table1[[#This Row],[Admission_Date]]</f>
        <v>2</v>
      </c>
      <c r="S138" s="1"/>
    </row>
    <row r="139" spans="1:19" x14ac:dyDescent="0.3">
      <c r="A139" t="s">
        <v>160</v>
      </c>
      <c r="B139">
        <v>63</v>
      </c>
      <c r="C139" t="s">
        <v>12</v>
      </c>
      <c r="D139">
        <v>28.5</v>
      </c>
      <c r="E139">
        <v>100</v>
      </c>
      <c r="F139">
        <v>85</v>
      </c>
      <c r="G139" t="s">
        <v>14</v>
      </c>
      <c r="H139" t="s">
        <v>13</v>
      </c>
      <c r="I139" t="s">
        <v>32</v>
      </c>
      <c r="J139" s="2">
        <v>2987.43</v>
      </c>
      <c r="K139" s="3">
        <v>45855</v>
      </c>
      <c r="L139" s="3">
        <v>45856</v>
      </c>
      <c r="M139" t="s">
        <v>19</v>
      </c>
      <c r="N139" t="str">
        <f>IF(Table1[[#This Row],[Age]]&lt;25,"&lt; 25",IF(Table1[[#This Row],[Age]]&lt;36,"25-35",IF(Table1[[#This Row],[Age]]&lt;51,"36-50",IF(Table1[[#This Row],[Age]]&lt;66,"51-65",IF(Table1[[#This Row],[Age]]&gt;65,"&gt;65","none")))))</f>
        <v>51-65</v>
      </c>
      <c r="O139" t="str">
        <f>IF(AND(Table1[[#This Row],[Smoker]]="Yes",Table1[[#This Row],[Diabetic]]="Yes"),"Yes","No")</f>
        <v>No</v>
      </c>
      <c r="P139" t="str">
        <f>IF(OR(Table1[[#This Row],[Smoker]]="Yes",Table1[[#This Row],[Diabetic]]="Yes"),"Yes","No")</f>
        <v>Yes</v>
      </c>
      <c r="Q139" s="1" t="str">
        <f>IF(OR(Table1[[#This Row],[Systolic]]&gt;125,Table1[[#This Row],[Diastolic]]&gt;90),"High","Normal")</f>
        <v>Normal</v>
      </c>
      <c r="R139" s="1">
        <f>Table1[[#This Row],[Discharge_Date]]-Table1[[#This Row],[Admission_Date]]</f>
        <v>1</v>
      </c>
      <c r="S139" s="1"/>
    </row>
    <row r="140" spans="1:19" x14ac:dyDescent="0.3">
      <c r="A140" t="s">
        <v>161</v>
      </c>
      <c r="B140">
        <v>33</v>
      </c>
      <c r="C140" t="s">
        <v>12</v>
      </c>
      <c r="D140">
        <v>34.200000000000003</v>
      </c>
      <c r="E140">
        <v>180</v>
      </c>
      <c r="F140">
        <v>85</v>
      </c>
      <c r="G140" t="s">
        <v>14</v>
      </c>
      <c r="H140" t="s">
        <v>13</v>
      </c>
      <c r="I140" t="s">
        <v>32</v>
      </c>
      <c r="J140" s="2">
        <v>4693.05</v>
      </c>
      <c r="K140" s="3">
        <v>45903</v>
      </c>
      <c r="L140" s="3">
        <v>45912</v>
      </c>
      <c r="M140" t="s">
        <v>16</v>
      </c>
      <c r="N140" t="str">
        <f>IF(Table1[[#This Row],[Age]]&lt;25,"&lt; 25",IF(Table1[[#This Row],[Age]]&lt;36,"25-35",IF(Table1[[#This Row],[Age]]&lt;51,"36-50",IF(Table1[[#This Row],[Age]]&lt;66,"51-65",IF(Table1[[#This Row],[Age]]&gt;65,"&gt;65","none")))))</f>
        <v>25-35</v>
      </c>
      <c r="O140" t="str">
        <f>IF(AND(Table1[[#This Row],[Smoker]]="Yes",Table1[[#This Row],[Diabetic]]="Yes"),"Yes","No")</f>
        <v>No</v>
      </c>
      <c r="P140" t="str">
        <f>IF(OR(Table1[[#This Row],[Smoker]]="Yes",Table1[[#This Row],[Diabetic]]="Yes"),"Yes","No")</f>
        <v>Yes</v>
      </c>
      <c r="Q140" s="1" t="str">
        <f>IF(OR(Table1[[#This Row],[Systolic]]&gt;125,Table1[[#This Row],[Diastolic]]&gt;90),"High","Normal")</f>
        <v>High</v>
      </c>
      <c r="R140" s="1">
        <f>Table1[[#This Row],[Discharge_Date]]-Table1[[#This Row],[Admission_Date]]</f>
        <v>9</v>
      </c>
      <c r="S140" s="1"/>
    </row>
    <row r="141" spans="1:19" x14ac:dyDescent="0.3">
      <c r="A141" t="s">
        <v>162</v>
      </c>
      <c r="B141">
        <v>89</v>
      </c>
      <c r="C141" t="s">
        <v>18</v>
      </c>
      <c r="D141">
        <v>35.1</v>
      </c>
      <c r="E141">
        <v>151</v>
      </c>
      <c r="F141">
        <v>119</v>
      </c>
      <c r="G141" t="s">
        <v>13</v>
      </c>
      <c r="H141" t="s">
        <v>14</v>
      </c>
      <c r="I141" t="s">
        <v>34</v>
      </c>
      <c r="J141" s="2">
        <v>3309.54</v>
      </c>
      <c r="K141" s="3">
        <v>45643</v>
      </c>
      <c r="L141" s="3">
        <v>45653</v>
      </c>
      <c r="M141" t="s">
        <v>23</v>
      </c>
      <c r="N141" t="str">
        <f>IF(Table1[[#This Row],[Age]]&lt;25,"&lt; 25",IF(Table1[[#This Row],[Age]]&lt;36,"25-35",IF(Table1[[#This Row],[Age]]&lt;51,"36-50",IF(Table1[[#This Row],[Age]]&lt;66,"51-65",IF(Table1[[#This Row],[Age]]&gt;65,"&gt;65","none")))))</f>
        <v>&gt;65</v>
      </c>
      <c r="O141" t="str">
        <f>IF(AND(Table1[[#This Row],[Smoker]]="Yes",Table1[[#This Row],[Diabetic]]="Yes"),"Yes","No")</f>
        <v>No</v>
      </c>
      <c r="P141" t="str">
        <f>IF(OR(Table1[[#This Row],[Smoker]]="Yes",Table1[[#This Row],[Diabetic]]="Yes"),"Yes","No")</f>
        <v>Yes</v>
      </c>
      <c r="Q141" s="1" t="str">
        <f>IF(OR(Table1[[#This Row],[Systolic]]&gt;125,Table1[[#This Row],[Diastolic]]&gt;90),"High","Normal")</f>
        <v>High</v>
      </c>
      <c r="R141" s="1">
        <f>Table1[[#This Row],[Discharge_Date]]-Table1[[#This Row],[Admission_Date]]</f>
        <v>10</v>
      </c>
      <c r="S141" s="1"/>
    </row>
    <row r="142" spans="1:19" x14ac:dyDescent="0.3">
      <c r="A142" t="s">
        <v>163</v>
      </c>
      <c r="B142">
        <v>29</v>
      </c>
      <c r="C142" t="s">
        <v>18</v>
      </c>
      <c r="D142">
        <v>35.6</v>
      </c>
      <c r="E142">
        <v>141</v>
      </c>
      <c r="F142">
        <v>71</v>
      </c>
      <c r="G142" t="s">
        <v>13</v>
      </c>
      <c r="H142" t="s">
        <v>14</v>
      </c>
      <c r="I142" t="s">
        <v>34</v>
      </c>
      <c r="J142" s="2">
        <v>1032.51</v>
      </c>
      <c r="K142" s="3">
        <v>45895</v>
      </c>
      <c r="L142" s="3">
        <v>45903</v>
      </c>
      <c r="M142" t="s">
        <v>16</v>
      </c>
      <c r="N142" t="str">
        <f>IF(Table1[[#This Row],[Age]]&lt;25,"&lt; 25",IF(Table1[[#This Row],[Age]]&lt;36,"25-35",IF(Table1[[#This Row],[Age]]&lt;51,"36-50",IF(Table1[[#This Row],[Age]]&lt;66,"51-65",IF(Table1[[#This Row],[Age]]&gt;65,"&gt;65","none")))))</f>
        <v>25-35</v>
      </c>
      <c r="O142" t="str">
        <f>IF(AND(Table1[[#This Row],[Smoker]]="Yes",Table1[[#This Row],[Diabetic]]="Yes"),"Yes","No")</f>
        <v>No</v>
      </c>
      <c r="P142" t="str">
        <f>IF(OR(Table1[[#This Row],[Smoker]]="Yes",Table1[[#This Row],[Diabetic]]="Yes"),"Yes","No")</f>
        <v>Yes</v>
      </c>
      <c r="Q142" s="1" t="str">
        <f>IF(OR(Table1[[#This Row],[Systolic]]&gt;125,Table1[[#This Row],[Diastolic]]&gt;90),"High","Normal")</f>
        <v>High</v>
      </c>
      <c r="R142" s="1">
        <f>Table1[[#This Row],[Discharge_Date]]-Table1[[#This Row],[Admission_Date]]</f>
        <v>8</v>
      </c>
      <c r="S142" s="1"/>
    </row>
    <row r="143" spans="1:19" x14ac:dyDescent="0.3">
      <c r="A143" t="s">
        <v>164</v>
      </c>
      <c r="B143">
        <v>80</v>
      </c>
      <c r="C143" t="s">
        <v>18</v>
      </c>
      <c r="D143">
        <v>28</v>
      </c>
      <c r="E143">
        <v>164</v>
      </c>
      <c r="F143">
        <v>105</v>
      </c>
      <c r="G143" t="s">
        <v>13</v>
      </c>
      <c r="H143" t="s">
        <v>14</v>
      </c>
      <c r="I143" t="s">
        <v>15</v>
      </c>
      <c r="J143" s="2">
        <v>1826.87</v>
      </c>
      <c r="K143" s="3">
        <v>45815</v>
      </c>
      <c r="L143" s="3">
        <v>45821</v>
      </c>
      <c r="M143" t="s">
        <v>19</v>
      </c>
      <c r="N143" t="str">
        <f>IF(Table1[[#This Row],[Age]]&lt;25,"&lt; 25",IF(Table1[[#This Row],[Age]]&lt;36,"25-35",IF(Table1[[#This Row],[Age]]&lt;51,"36-50",IF(Table1[[#This Row],[Age]]&lt;66,"51-65",IF(Table1[[#This Row],[Age]]&gt;65,"&gt;65","none")))))</f>
        <v>&gt;65</v>
      </c>
      <c r="O143" t="str">
        <f>IF(AND(Table1[[#This Row],[Smoker]]="Yes",Table1[[#This Row],[Diabetic]]="Yes"),"Yes","No")</f>
        <v>No</v>
      </c>
      <c r="P143" t="str">
        <f>IF(OR(Table1[[#This Row],[Smoker]]="Yes",Table1[[#This Row],[Diabetic]]="Yes"),"Yes","No")</f>
        <v>Yes</v>
      </c>
      <c r="Q143" s="1" t="str">
        <f>IF(OR(Table1[[#This Row],[Systolic]]&gt;125,Table1[[#This Row],[Diastolic]]&gt;90),"High","Normal")</f>
        <v>High</v>
      </c>
      <c r="R143" s="1">
        <f>Table1[[#This Row],[Discharge_Date]]-Table1[[#This Row],[Admission_Date]]</f>
        <v>6</v>
      </c>
      <c r="S143" s="1"/>
    </row>
    <row r="144" spans="1:19" x14ac:dyDescent="0.3">
      <c r="A144" t="s">
        <v>165</v>
      </c>
      <c r="B144">
        <v>68</v>
      </c>
      <c r="C144" t="s">
        <v>18</v>
      </c>
      <c r="D144">
        <v>24.3</v>
      </c>
      <c r="E144">
        <v>149</v>
      </c>
      <c r="F144">
        <v>70</v>
      </c>
      <c r="G144" t="s">
        <v>14</v>
      </c>
      <c r="H144" t="s">
        <v>13</v>
      </c>
      <c r="I144" t="s">
        <v>32</v>
      </c>
      <c r="J144" s="2">
        <v>2837.6</v>
      </c>
      <c r="K144" s="3">
        <v>45876</v>
      </c>
      <c r="L144" s="3">
        <v>45878</v>
      </c>
      <c r="M144" t="s">
        <v>16</v>
      </c>
      <c r="N144" t="str">
        <f>IF(Table1[[#This Row],[Age]]&lt;25,"&lt; 25",IF(Table1[[#This Row],[Age]]&lt;36,"25-35",IF(Table1[[#This Row],[Age]]&lt;51,"36-50",IF(Table1[[#This Row],[Age]]&lt;66,"51-65",IF(Table1[[#This Row],[Age]]&gt;65,"&gt;65","none")))))</f>
        <v>&gt;65</v>
      </c>
      <c r="O144" t="str">
        <f>IF(AND(Table1[[#This Row],[Smoker]]="Yes",Table1[[#This Row],[Diabetic]]="Yes"),"Yes","No")</f>
        <v>No</v>
      </c>
      <c r="P144" t="str">
        <f>IF(OR(Table1[[#This Row],[Smoker]]="Yes",Table1[[#This Row],[Diabetic]]="Yes"),"Yes","No")</f>
        <v>Yes</v>
      </c>
      <c r="Q144" s="1" t="str">
        <f>IF(OR(Table1[[#This Row],[Systolic]]&gt;125,Table1[[#This Row],[Diastolic]]&gt;90),"High","Normal")</f>
        <v>High</v>
      </c>
      <c r="R144" s="1">
        <f>Table1[[#This Row],[Discharge_Date]]-Table1[[#This Row],[Admission_Date]]</f>
        <v>2</v>
      </c>
      <c r="S144" s="1"/>
    </row>
    <row r="145" spans="1:19" x14ac:dyDescent="0.3">
      <c r="A145" t="s">
        <v>166</v>
      </c>
      <c r="B145">
        <v>42</v>
      </c>
      <c r="C145" t="s">
        <v>18</v>
      </c>
      <c r="D145">
        <v>21.3</v>
      </c>
      <c r="E145">
        <v>118</v>
      </c>
      <c r="F145">
        <v>85</v>
      </c>
      <c r="G145" t="s">
        <v>13</v>
      </c>
      <c r="H145" t="s">
        <v>14</v>
      </c>
      <c r="I145" t="s">
        <v>34</v>
      </c>
      <c r="J145" s="2">
        <v>2553.06</v>
      </c>
      <c r="K145" s="3">
        <v>45689</v>
      </c>
      <c r="L145" s="3">
        <v>45690</v>
      </c>
      <c r="M145" t="s">
        <v>23</v>
      </c>
      <c r="N145" t="str">
        <f>IF(Table1[[#This Row],[Age]]&lt;25,"&lt; 25",IF(Table1[[#This Row],[Age]]&lt;36,"25-35",IF(Table1[[#This Row],[Age]]&lt;51,"36-50",IF(Table1[[#This Row],[Age]]&lt;66,"51-65",IF(Table1[[#This Row],[Age]]&gt;65,"&gt;65","none")))))</f>
        <v>36-50</v>
      </c>
      <c r="O145" t="str">
        <f>IF(AND(Table1[[#This Row],[Smoker]]="Yes",Table1[[#This Row],[Diabetic]]="Yes"),"Yes","No")</f>
        <v>No</v>
      </c>
      <c r="P145" t="str">
        <f>IF(OR(Table1[[#This Row],[Smoker]]="Yes",Table1[[#This Row],[Diabetic]]="Yes"),"Yes","No")</f>
        <v>Yes</v>
      </c>
      <c r="Q145" s="1" t="str">
        <f>IF(OR(Table1[[#This Row],[Systolic]]&gt;125,Table1[[#This Row],[Diastolic]]&gt;90),"High","Normal")</f>
        <v>Normal</v>
      </c>
      <c r="R145" s="1">
        <f>Table1[[#This Row],[Discharge_Date]]-Table1[[#This Row],[Admission_Date]]</f>
        <v>1</v>
      </c>
      <c r="S145" s="1"/>
    </row>
    <row r="146" spans="1:19" x14ac:dyDescent="0.3">
      <c r="A146" t="s">
        <v>167</v>
      </c>
      <c r="B146">
        <v>20</v>
      </c>
      <c r="C146" t="s">
        <v>12</v>
      </c>
      <c r="D146">
        <v>25.4</v>
      </c>
      <c r="E146">
        <v>132</v>
      </c>
      <c r="F146">
        <v>119</v>
      </c>
      <c r="G146" t="s">
        <v>14</v>
      </c>
      <c r="H146" t="s">
        <v>14</v>
      </c>
      <c r="I146" t="s">
        <v>34</v>
      </c>
      <c r="J146" s="2">
        <v>941.84</v>
      </c>
      <c r="K146" s="3">
        <v>45861</v>
      </c>
      <c r="L146" s="3">
        <v>45872</v>
      </c>
      <c r="M146" t="s">
        <v>19</v>
      </c>
      <c r="N146" t="str">
        <f>IF(Table1[[#This Row],[Age]]&lt;25,"&lt; 25",IF(Table1[[#This Row],[Age]]&lt;36,"25-35",IF(Table1[[#This Row],[Age]]&lt;51,"36-50",IF(Table1[[#This Row],[Age]]&lt;66,"51-65",IF(Table1[[#This Row],[Age]]&gt;65,"&gt;65","none")))))</f>
        <v>&lt; 25</v>
      </c>
      <c r="O146" t="str">
        <f>IF(AND(Table1[[#This Row],[Smoker]]="Yes",Table1[[#This Row],[Diabetic]]="Yes"),"Yes","No")</f>
        <v>Yes</v>
      </c>
      <c r="P146" t="str">
        <f>IF(OR(Table1[[#This Row],[Smoker]]="Yes",Table1[[#This Row],[Diabetic]]="Yes"),"Yes","No")</f>
        <v>Yes</v>
      </c>
      <c r="Q146" s="1" t="str">
        <f>IF(OR(Table1[[#This Row],[Systolic]]&gt;125,Table1[[#This Row],[Diastolic]]&gt;90),"High","Normal")</f>
        <v>High</v>
      </c>
      <c r="R146" s="1">
        <f>Table1[[#This Row],[Discharge_Date]]-Table1[[#This Row],[Admission_Date]]</f>
        <v>11</v>
      </c>
      <c r="S146" s="1"/>
    </row>
    <row r="147" spans="1:19" x14ac:dyDescent="0.3">
      <c r="A147" t="s">
        <v>168</v>
      </c>
      <c r="B147">
        <v>50</v>
      </c>
      <c r="C147" t="s">
        <v>18</v>
      </c>
      <c r="D147">
        <v>22.5</v>
      </c>
      <c r="E147">
        <v>105</v>
      </c>
      <c r="F147">
        <v>76</v>
      </c>
      <c r="G147" t="s">
        <v>14</v>
      </c>
      <c r="H147" t="s">
        <v>14</v>
      </c>
      <c r="I147" t="s">
        <v>25</v>
      </c>
      <c r="J147" s="2">
        <v>3083.99</v>
      </c>
      <c r="K147" s="3">
        <v>45830</v>
      </c>
      <c r="L147" s="3">
        <v>45838</v>
      </c>
      <c r="M147" t="s">
        <v>23</v>
      </c>
      <c r="N147" t="str">
        <f>IF(Table1[[#This Row],[Age]]&lt;25,"&lt; 25",IF(Table1[[#This Row],[Age]]&lt;36,"25-35",IF(Table1[[#This Row],[Age]]&lt;51,"36-50",IF(Table1[[#This Row],[Age]]&lt;66,"51-65",IF(Table1[[#This Row],[Age]]&gt;65,"&gt;65","none")))))</f>
        <v>36-50</v>
      </c>
      <c r="O147" t="str">
        <f>IF(AND(Table1[[#This Row],[Smoker]]="Yes",Table1[[#This Row],[Diabetic]]="Yes"),"Yes","No")</f>
        <v>Yes</v>
      </c>
      <c r="P147" t="str">
        <f>IF(OR(Table1[[#This Row],[Smoker]]="Yes",Table1[[#This Row],[Diabetic]]="Yes"),"Yes","No")</f>
        <v>Yes</v>
      </c>
      <c r="Q147" s="1" t="str">
        <f>IF(OR(Table1[[#This Row],[Systolic]]&gt;125,Table1[[#This Row],[Diastolic]]&gt;90),"High","Normal")</f>
        <v>Normal</v>
      </c>
      <c r="R147" s="1">
        <f>Table1[[#This Row],[Discharge_Date]]-Table1[[#This Row],[Admission_Date]]</f>
        <v>8</v>
      </c>
      <c r="S147" s="1"/>
    </row>
    <row r="148" spans="1:19" x14ac:dyDescent="0.3">
      <c r="A148" t="s">
        <v>169</v>
      </c>
      <c r="B148">
        <v>66</v>
      </c>
      <c r="C148" t="s">
        <v>12</v>
      </c>
      <c r="D148">
        <v>20.5</v>
      </c>
      <c r="E148">
        <v>131</v>
      </c>
      <c r="F148">
        <v>63</v>
      </c>
      <c r="G148" t="s">
        <v>13</v>
      </c>
      <c r="H148" t="s">
        <v>14</v>
      </c>
      <c r="I148" t="s">
        <v>34</v>
      </c>
      <c r="J148" s="2">
        <v>3753.14</v>
      </c>
      <c r="K148" s="3">
        <v>45724</v>
      </c>
      <c r="L148" s="3">
        <v>45736</v>
      </c>
      <c r="M148" t="s">
        <v>19</v>
      </c>
      <c r="N148" t="str">
        <f>IF(Table1[[#This Row],[Age]]&lt;25,"&lt; 25",IF(Table1[[#This Row],[Age]]&lt;36,"25-35",IF(Table1[[#This Row],[Age]]&lt;51,"36-50",IF(Table1[[#This Row],[Age]]&lt;66,"51-65",IF(Table1[[#This Row],[Age]]&gt;65,"&gt;65","none")))))</f>
        <v>&gt;65</v>
      </c>
      <c r="O148" t="str">
        <f>IF(AND(Table1[[#This Row],[Smoker]]="Yes",Table1[[#This Row],[Diabetic]]="Yes"),"Yes","No")</f>
        <v>No</v>
      </c>
      <c r="P148" t="str">
        <f>IF(OR(Table1[[#This Row],[Smoker]]="Yes",Table1[[#This Row],[Diabetic]]="Yes"),"Yes","No")</f>
        <v>Yes</v>
      </c>
      <c r="Q148" s="1" t="str">
        <f>IF(OR(Table1[[#This Row],[Systolic]]&gt;125,Table1[[#This Row],[Diastolic]]&gt;90),"High","Normal")</f>
        <v>High</v>
      </c>
      <c r="R148" s="1">
        <f>Table1[[#This Row],[Discharge_Date]]-Table1[[#This Row],[Admission_Date]]</f>
        <v>12</v>
      </c>
      <c r="S148" s="1"/>
    </row>
    <row r="149" spans="1:19" x14ac:dyDescent="0.3">
      <c r="A149" t="s">
        <v>170</v>
      </c>
      <c r="B149">
        <v>30</v>
      </c>
      <c r="C149" t="s">
        <v>12</v>
      </c>
      <c r="D149">
        <v>39</v>
      </c>
      <c r="E149">
        <v>132</v>
      </c>
      <c r="F149">
        <v>117</v>
      </c>
      <c r="G149" t="s">
        <v>13</v>
      </c>
      <c r="H149" t="s">
        <v>14</v>
      </c>
      <c r="I149" t="s">
        <v>32</v>
      </c>
      <c r="J149" s="2">
        <v>2623.4</v>
      </c>
      <c r="K149" s="3">
        <v>45577</v>
      </c>
      <c r="L149" s="3">
        <v>45585</v>
      </c>
      <c r="M149" t="s">
        <v>23</v>
      </c>
      <c r="N149" t="str">
        <f>IF(Table1[[#This Row],[Age]]&lt;25,"&lt; 25",IF(Table1[[#This Row],[Age]]&lt;36,"25-35",IF(Table1[[#This Row],[Age]]&lt;51,"36-50",IF(Table1[[#This Row],[Age]]&lt;66,"51-65",IF(Table1[[#This Row],[Age]]&gt;65,"&gt;65","none")))))</f>
        <v>25-35</v>
      </c>
      <c r="O149" t="str">
        <f>IF(AND(Table1[[#This Row],[Smoker]]="Yes",Table1[[#This Row],[Diabetic]]="Yes"),"Yes","No")</f>
        <v>No</v>
      </c>
      <c r="P149" t="str">
        <f>IF(OR(Table1[[#This Row],[Smoker]]="Yes",Table1[[#This Row],[Diabetic]]="Yes"),"Yes","No")</f>
        <v>Yes</v>
      </c>
      <c r="Q149" s="1" t="str">
        <f>IF(OR(Table1[[#This Row],[Systolic]]&gt;125,Table1[[#This Row],[Diastolic]]&gt;90),"High","Normal")</f>
        <v>High</v>
      </c>
      <c r="R149" s="1">
        <f>Table1[[#This Row],[Discharge_Date]]-Table1[[#This Row],[Admission_Date]]</f>
        <v>8</v>
      </c>
      <c r="S149" s="1"/>
    </row>
    <row r="150" spans="1:19" x14ac:dyDescent="0.3">
      <c r="A150" t="s">
        <v>171</v>
      </c>
      <c r="B150">
        <v>60</v>
      </c>
      <c r="C150" t="s">
        <v>12</v>
      </c>
      <c r="D150">
        <v>25.2</v>
      </c>
      <c r="E150">
        <v>148</v>
      </c>
      <c r="F150">
        <v>78</v>
      </c>
      <c r="G150" t="s">
        <v>13</v>
      </c>
      <c r="H150" t="s">
        <v>14</v>
      </c>
      <c r="I150" t="s">
        <v>25</v>
      </c>
      <c r="J150" s="2">
        <v>1659.95</v>
      </c>
      <c r="K150" s="3">
        <v>45739</v>
      </c>
      <c r="L150" s="3">
        <v>45747</v>
      </c>
      <c r="M150" t="s">
        <v>23</v>
      </c>
      <c r="N150" t="str">
        <f>IF(Table1[[#This Row],[Age]]&lt;25,"&lt; 25",IF(Table1[[#This Row],[Age]]&lt;36,"25-35",IF(Table1[[#This Row],[Age]]&lt;51,"36-50",IF(Table1[[#This Row],[Age]]&lt;66,"51-65",IF(Table1[[#This Row],[Age]]&gt;65,"&gt;65","none")))))</f>
        <v>51-65</v>
      </c>
      <c r="O150" t="str">
        <f>IF(AND(Table1[[#This Row],[Smoker]]="Yes",Table1[[#This Row],[Diabetic]]="Yes"),"Yes","No")</f>
        <v>No</v>
      </c>
      <c r="P150" t="str">
        <f>IF(OR(Table1[[#This Row],[Smoker]]="Yes",Table1[[#This Row],[Diabetic]]="Yes"),"Yes","No")</f>
        <v>Yes</v>
      </c>
      <c r="Q150" s="1" t="str">
        <f>IF(OR(Table1[[#This Row],[Systolic]]&gt;125,Table1[[#This Row],[Diastolic]]&gt;90),"High","Normal")</f>
        <v>High</v>
      </c>
      <c r="R150" s="1">
        <f>Table1[[#This Row],[Discharge_Date]]-Table1[[#This Row],[Admission_Date]]</f>
        <v>8</v>
      </c>
      <c r="S150" s="1"/>
    </row>
    <row r="151" spans="1:19" x14ac:dyDescent="0.3">
      <c r="A151" t="s">
        <v>172</v>
      </c>
      <c r="B151">
        <v>57</v>
      </c>
      <c r="C151" t="s">
        <v>12</v>
      </c>
      <c r="D151">
        <v>39.1</v>
      </c>
      <c r="E151">
        <v>123</v>
      </c>
      <c r="F151">
        <v>95</v>
      </c>
      <c r="G151" t="s">
        <v>13</v>
      </c>
      <c r="H151" t="s">
        <v>14</v>
      </c>
      <c r="I151" t="s">
        <v>34</v>
      </c>
      <c r="J151" s="2">
        <v>3094.19</v>
      </c>
      <c r="K151" s="3">
        <v>45854</v>
      </c>
      <c r="L151" s="3">
        <v>45867</v>
      </c>
      <c r="M151" t="s">
        <v>16</v>
      </c>
      <c r="N151" t="str">
        <f>IF(Table1[[#This Row],[Age]]&lt;25,"&lt; 25",IF(Table1[[#This Row],[Age]]&lt;36,"25-35",IF(Table1[[#This Row],[Age]]&lt;51,"36-50",IF(Table1[[#This Row],[Age]]&lt;66,"51-65",IF(Table1[[#This Row],[Age]]&gt;65,"&gt;65","none")))))</f>
        <v>51-65</v>
      </c>
      <c r="O151" t="str">
        <f>IF(AND(Table1[[#This Row],[Smoker]]="Yes",Table1[[#This Row],[Diabetic]]="Yes"),"Yes","No")</f>
        <v>No</v>
      </c>
      <c r="P151" t="str">
        <f>IF(OR(Table1[[#This Row],[Smoker]]="Yes",Table1[[#This Row],[Diabetic]]="Yes"),"Yes","No")</f>
        <v>Yes</v>
      </c>
      <c r="Q151" s="1" t="str">
        <f>IF(OR(Table1[[#This Row],[Systolic]]&gt;125,Table1[[#This Row],[Diastolic]]&gt;90),"High","Normal")</f>
        <v>High</v>
      </c>
      <c r="R151" s="1">
        <f>Table1[[#This Row],[Discharge_Date]]-Table1[[#This Row],[Admission_Date]]</f>
        <v>13</v>
      </c>
      <c r="S151" s="1"/>
    </row>
    <row r="152" spans="1:19" x14ac:dyDescent="0.3">
      <c r="A152" t="s">
        <v>173</v>
      </c>
      <c r="B152">
        <v>31</v>
      </c>
      <c r="C152" t="s">
        <v>18</v>
      </c>
      <c r="D152">
        <v>20.100000000000001</v>
      </c>
      <c r="E152">
        <v>148</v>
      </c>
      <c r="F152">
        <v>93</v>
      </c>
      <c r="G152" t="s">
        <v>13</v>
      </c>
      <c r="H152" t="s">
        <v>14</v>
      </c>
      <c r="I152" t="s">
        <v>15</v>
      </c>
      <c r="J152" s="2">
        <v>341.91</v>
      </c>
      <c r="K152" s="3">
        <v>45813</v>
      </c>
      <c r="L152" s="3">
        <v>45814</v>
      </c>
      <c r="M152" t="s">
        <v>19</v>
      </c>
      <c r="N152" t="str">
        <f>IF(Table1[[#This Row],[Age]]&lt;25,"&lt; 25",IF(Table1[[#This Row],[Age]]&lt;36,"25-35",IF(Table1[[#This Row],[Age]]&lt;51,"36-50",IF(Table1[[#This Row],[Age]]&lt;66,"51-65",IF(Table1[[#This Row],[Age]]&gt;65,"&gt;65","none")))))</f>
        <v>25-35</v>
      </c>
      <c r="O152" t="str">
        <f>IF(AND(Table1[[#This Row],[Smoker]]="Yes",Table1[[#This Row],[Diabetic]]="Yes"),"Yes","No")</f>
        <v>No</v>
      </c>
      <c r="P152" t="str">
        <f>IF(OR(Table1[[#This Row],[Smoker]]="Yes",Table1[[#This Row],[Diabetic]]="Yes"),"Yes","No")</f>
        <v>Yes</v>
      </c>
      <c r="Q152" s="1" t="str">
        <f>IF(OR(Table1[[#This Row],[Systolic]]&gt;125,Table1[[#This Row],[Diastolic]]&gt;90),"High","Normal")</f>
        <v>High</v>
      </c>
      <c r="R152" s="1">
        <f>Table1[[#This Row],[Discharge_Date]]-Table1[[#This Row],[Admission_Date]]</f>
        <v>1</v>
      </c>
      <c r="S152" s="1"/>
    </row>
    <row r="153" spans="1:19" x14ac:dyDescent="0.3">
      <c r="A153" t="s">
        <v>174</v>
      </c>
      <c r="B153">
        <v>49</v>
      </c>
      <c r="C153" t="s">
        <v>12</v>
      </c>
      <c r="D153">
        <v>24.7</v>
      </c>
      <c r="E153">
        <v>166</v>
      </c>
      <c r="F153">
        <v>88</v>
      </c>
      <c r="G153" t="s">
        <v>14</v>
      </c>
      <c r="H153" t="s">
        <v>13</v>
      </c>
      <c r="I153" t="s">
        <v>32</v>
      </c>
      <c r="J153" s="2">
        <v>1154.76</v>
      </c>
      <c r="K153" s="3">
        <v>45741</v>
      </c>
      <c r="L153" s="3">
        <v>45751</v>
      </c>
      <c r="M153" t="s">
        <v>19</v>
      </c>
      <c r="N153" t="str">
        <f>IF(Table1[[#This Row],[Age]]&lt;25,"&lt; 25",IF(Table1[[#This Row],[Age]]&lt;36,"25-35",IF(Table1[[#This Row],[Age]]&lt;51,"36-50",IF(Table1[[#This Row],[Age]]&lt;66,"51-65",IF(Table1[[#This Row],[Age]]&gt;65,"&gt;65","none")))))</f>
        <v>36-50</v>
      </c>
      <c r="O153" t="str">
        <f>IF(AND(Table1[[#This Row],[Smoker]]="Yes",Table1[[#This Row],[Diabetic]]="Yes"),"Yes","No")</f>
        <v>No</v>
      </c>
      <c r="P153" t="str">
        <f>IF(OR(Table1[[#This Row],[Smoker]]="Yes",Table1[[#This Row],[Diabetic]]="Yes"),"Yes","No")</f>
        <v>Yes</v>
      </c>
      <c r="Q153" s="1" t="str">
        <f>IF(OR(Table1[[#This Row],[Systolic]]&gt;125,Table1[[#This Row],[Diastolic]]&gt;90),"High","Normal")</f>
        <v>High</v>
      </c>
      <c r="R153" s="1">
        <f>Table1[[#This Row],[Discharge_Date]]-Table1[[#This Row],[Admission_Date]]</f>
        <v>10</v>
      </c>
      <c r="S153" s="1"/>
    </row>
    <row r="154" spans="1:19" x14ac:dyDescent="0.3">
      <c r="A154" t="s">
        <v>175</v>
      </c>
      <c r="B154">
        <v>20</v>
      </c>
      <c r="C154" t="s">
        <v>12</v>
      </c>
      <c r="D154">
        <v>25.6</v>
      </c>
      <c r="E154">
        <v>100</v>
      </c>
      <c r="F154">
        <v>99</v>
      </c>
      <c r="G154" t="s">
        <v>13</v>
      </c>
      <c r="H154" t="s">
        <v>13</v>
      </c>
      <c r="I154" t="s">
        <v>21</v>
      </c>
      <c r="J154" s="2">
        <v>3739.8</v>
      </c>
      <c r="K154" s="3">
        <v>45904</v>
      </c>
      <c r="L154" s="3">
        <v>45905</v>
      </c>
      <c r="M154" t="s">
        <v>19</v>
      </c>
      <c r="N154" t="str">
        <f>IF(Table1[[#This Row],[Age]]&lt;25,"&lt; 25",IF(Table1[[#This Row],[Age]]&lt;36,"25-35",IF(Table1[[#This Row],[Age]]&lt;51,"36-50",IF(Table1[[#This Row],[Age]]&lt;66,"51-65",IF(Table1[[#This Row],[Age]]&gt;65,"&gt;65","none")))))</f>
        <v>&lt; 25</v>
      </c>
      <c r="O154" t="str">
        <f>IF(AND(Table1[[#This Row],[Smoker]]="Yes",Table1[[#This Row],[Diabetic]]="Yes"),"Yes","No")</f>
        <v>No</v>
      </c>
      <c r="P154" t="str">
        <f>IF(OR(Table1[[#This Row],[Smoker]]="Yes",Table1[[#This Row],[Diabetic]]="Yes"),"Yes","No")</f>
        <v>No</v>
      </c>
      <c r="Q154" s="1" t="str">
        <f>IF(OR(Table1[[#This Row],[Systolic]]&gt;125,Table1[[#This Row],[Diastolic]]&gt;90),"High","Normal")</f>
        <v>High</v>
      </c>
      <c r="R154" s="1">
        <f>Table1[[#This Row],[Discharge_Date]]-Table1[[#This Row],[Admission_Date]]</f>
        <v>1</v>
      </c>
      <c r="S154" s="1"/>
    </row>
    <row r="155" spans="1:19" x14ac:dyDescent="0.3">
      <c r="A155" t="s">
        <v>176</v>
      </c>
      <c r="B155">
        <v>80</v>
      </c>
      <c r="C155" t="s">
        <v>12</v>
      </c>
      <c r="D155">
        <v>32.5</v>
      </c>
      <c r="E155">
        <v>145</v>
      </c>
      <c r="F155">
        <v>65</v>
      </c>
      <c r="G155" t="s">
        <v>13</v>
      </c>
      <c r="H155" t="s">
        <v>14</v>
      </c>
      <c r="I155" t="s">
        <v>32</v>
      </c>
      <c r="J155" s="2">
        <v>1154.51</v>
      </c>
      <c r="K155" s="3">
        <v>45796</v>
      </c>
      <c r="L155" s="3">
        <v>45799</v>
      </c>
      <c r="M155" t="s">
        <v>23</v>
      </c>
      <c r="N155" t="str">
        <f>IF(Table1[[#This Row],[Age]]&lt;25,"&lt; 25",IF(Table1[[#This Row],[Age]]&lt;36,"25-35",IF(Table1[[#This Row],[Age]]&lt;51,"36-50",IF(Table1[[#This Row],[Age]]&lt;66,"51-65",IF(Table1[[#This Row],[Age]]&gt;65,"&gt;65","none")))))</f>
        <v>&gt;65</v>
      </c>
      <c r="O155" t="str">
        <f>IF(AND(Table1[[#This Row],[Smoker]]="Yes",Table1[[#This Row],[Diabetic]]="Yes"),"Yes","No")</f>
        <v>No</v>
      </c>
      <c r="P155" t="str">
        <f>IF(OR(Table1[[#This Row],[Smoker]]="Yes",Table1[[#This Row],[Diabetic]]="Yes"),"Yes","No")</f>
        <v>Yes</v>
      </c>
      <c r="Q155" s="1" t="str">
        <f>IF(OR(Table1[[#This Row],[Systolic]]&gt;125,Table1[[#This Row],[Diastolic]]&gt;90),"High","Normal")</f>
        <v>High</v>
      </c>
      <c r="R155" s="1">
        <f>Table1[[#This Row],[Discharge_Date]]-Table1[[#This Row],[Admission_Date]]</f>
        <v>3</v>
      </c>
      <c r="S155" s="1"/>
    </row>
    <row r="156" spans="1:19" x14ac:dyDescent="0.3">
      <c r="A156" t="s">
        <v>177</v>
      </c>
      <c r="B156">
        <v>57</v>
      </c>
      <c r="C156" t="s">
        <v>12</v>
      </c>
      <c r="D156">
        <v>22.5</v>
      </c>
      <c r="E156">
        <v>148</v>
      </c>
      <c r="F156">
        <v>81</v>
      </c>
      <c r="G156" t="s">
        <v>14</v>
      </c>
      <c r="H156" t="s">
        <v>13</v>
      </c>
      <c r="I156" t="s">
        <v>25</v>
      </c>
      <c r="J156" s="2">
        <v>1608.52</v>
      </c>
      <c r="K156" s="3">
        <v>45690</v>
      </c>
      <c r="L156" s="3">
        <v>45694</v>
      </c>
      <c r="M156" t="s">
        <v>23</v>
      </c>
      <c r="N156" t="str">
        <f>IF(Table1[[#This Row],[Age]]&lt;25,"&lt; 25",IF(Table1[[#This Row],[Age]]&lt;36,"25-35",IF(Table1[[#This Row],[Age]]&lt;51,"36-50",IF(Table1[[#This Row],[Age]]&lt;66,"51-65",IF(Table1[[#This Row],[Age]]&gt;65,"&gt;65","none")))))</f>
        <v>51-65</v>
      </c>
      <c r="O156" t="str">
        <f>IF(AND(Table1[[#This Row],[Smoker]]="Yes",Table1[[#This Row],[Diabetic]]="Yes"),"Yes","No")</f>
        <v>No</v>
      </c>
      <c r="P156" t="str">
        <f>IF(OR(Table1[[#This Row],[Smoker]]="Yes",Table1[[#This Row],[Diabetic]]="Yes"),"Yes","No")</f>
        <v>Yes</v>
      </c>
      <c r="Q156" s="1" t="str">
        <f>IF(OR(Table1[[#This Row],[Systolic]]&gt;125,Table1[[#This Row],[Diastolic]]&gt;90),"High","Normal")</f>
        <v>High</v>
      </c>
      <c r="R156" s="1">
        <f>Table1[[#This Row],[Discharge_Date]]-Table1[[#This Row],[Admission_Date]]</f>
        <v>4</v>
      </c>
      <c r="S156" s="1"/>
    </row>
    <row r="157" spans="1:19" x14ac:dyDescent="0.3">
      <c r="A157" t="s">
        <v>178</v>
      </c>
      <c r="B157">
        <v>67</v>
      </c>
      <c r="C157" t="s">
        <v>18</v>
      </c>
      <c r="D157">
        <v>25.5</v>
      </c>
      <c r="E157">
        <v>154</v>
      </c>
      <c r="F157">
        <v>113</v>
      </c>
      <c r="G157" t="s">
        <v>13</v>
      </c>
      <c r="H157" t="s">
        <v>13</v>
      </c>
      <c r="I157" t="s">
        <v>25</v>
      </c>
      <c r="J157" s="2">
        <v>249.64</v>
      </c>
      <c r="K157" s="3">
        <v>45726</v>
      </c>
      <c r="L157" s="3">
        <v>45731</v>
      </c>
      <c r="M157" t="s">
        <v>23</v>
      </c>
      <c r="N157" t="str">
        <f>IF(Table1[[#This Row],[Age]]&lt;25,"&lt; 25",IF(Table1[[#This Row],[Age]]&lt;36,"25-35",IF(Table1[[#This Row],[Age]]&lt;51,"36-50",IF(Table1[[#This Row],[Age]]&lt;66,"51-65",IF(Table1[[#This Row],[Age]]&gt;65,"&gt;65","none")))))</f>
        <v>&gt;65</v>
      </c>
      <c r="O157" t="str">
        <f>IF(AND(Table1[[#This Row],[Smoker]]="Yes",Table1[[#This Row],[Diabetic]]="Yes"),"Yes","No")</f>
        <v>No</v>
      </c>
      <c r="P157" t="str">
        <f>IF(OR(Table1[[#This Row],[Smoker]]="Yes",Table1[[#This Row],[Diabetic]]="Yes"),"Yes","No")</f>
        <v>No</v>
      </c>
      <c r="Q157" s="1" t="str">
        <f>IF(OR(Table1[[#This Row],[Systolic]]&gt;125,Table1[[#This Row],[Diastolic]]&gt;90),"High","Normal")</f>
        <v>High</v>
      </c>
      <c r="R157" s="1">
        <f>Table1[[#This Row],[Discharge_Date]]-Table1[[#This Row],[Admission_Date]]</f>
        <v>5</v>
      </c>
      <c r="S157" s="1"/>
    </row>
    <row r="158" spans="1:19" x14ac:dyDescent="0.3">
      <c r="A158" t="s">
        <v>179</v>
      </c>
      <c r="B158">
        <v>75</v>
      </c>
      <c r="C158" t="s">
        <v>12</v>
      </c>
      <c r="D158">
        <v>28.6</v>
      </c>
      <c r="E158">
        <v>162</v>
      </c>
      <c r="F158">
        <v>87</v>
      </c>
      <c r="G158" t="s">
        <v>14</v>
      </c>
      <c r="H158" t="s">
        <v>14</v>
      </c>
      <c r="I158" t="s">
        <v>32</v>
      </c>
      <c r="J158" s="2">
        <v>2834.88</v>
      </c>
      <c r="K158" s="3">
        <v>45630</v>
      </c>
      <c r="L158" s="3">
        <v>45631</v>
      </c>
      <c r="M158" t="s">
        <v>16</v>
      </c>
      <c r="N158" t="str">
        <f>IF(Table1[[#This Row],[Age]]&lt;25,"&lt; 25",IF(Table1[[#This Row],[Age]]&lt;36,"25-35",IF(Table1[[#This Row],[Age]]&lt;51,"36-50",IF(Table1[[#This Row],[Age]]&lt;66,"51-65",IF(Table1[[#This Row],[Age]]&gt;65,"&gt;65","none")))))</f>
        <v>&gt;65</v>
      </c>
      <c r="O158" t="str">
        <f>IF(AND(Table1[[#This Row],[Smoker]]="Yes",Table1[[#This Row],[Diabetic]]="Yes"),"Yes","No")</f>
        <v>Yes</v>
      </c>
      <c r="P158" t="str">
        <f>IF(OR(Table1[[#This Row],[Smoker]]="Yes",Table1[[#This Row],[Diabetic]]="Yes"),"Yes","No")</f>
        <v>Yes</v>
      </c>
      <c r="Q158" s="1" t="str">
        <f>IF(OR(Table1[[#This Row],[Systolic]]&gt;125,Table1[[#This Row],[Diastolic]]&gt;90),"High","Normal")</f>
        <v>High</v>
      </c>
      <c r="R158" s="1">
        <f>Table1[[#This Row],[Discharge_Date]]-Table1[[#This Row],[Admission_Date]]</f>
        <v>1</v>
      </c>
      <c r="S158" s="1"/>
    </row>
    <row r="159" spans="1:19" x14ac:dyDescent="0.3">
      <c r="A159" t="s">
        <v>180</v>
      </c>
      <c r="B159">
        <v>90</v>
      </c>
      <c r="C159" t="s">
        <v>18</v>
      </c>
      <c r="D159">
        <v>22.7</v>
      </c>
      <c r="E159">
        <v>177</v>
      </c>
      <c r="F159">
        <v>116</v>
      </c>
      <c r="G159" t="s">
        <v>13</v>
      </c>
      <c r="H159" t="s">
        <v>13</v>
      </c>
      <c r="I159" t="s">
        <v>15</v>
      </c>
      <c r="J159" s="2">
        <v>2583.5700000000002</v>
      </c>
      <c r="K159" s="3">
        <v>45846</v>
      </c>
      <c r="L159" s="3">
        <v>45855</v>
      </c>
      <c r="M159" t="s">
        <v>23</v>
      </c>
      <c r="N159" t="str">
        <f>IF(Table1[[#This Row],[Age]]&lt;25,"&lt; 25",IF(Table1[[#This Row],[Age]]&lt;36,"25-35",IF(Table1[[#This Row],[Age]]&lt;51,"36-50",IF(Table1[[#This Row],[Age]]&lt;66,"51-65",IF(Table1[[#This Row],[Age]]&gt;65,"&gt;65","none")))))</f>
        <v>&gt;65</v>
      </c>
      <c r="O159" t="str">
        <f>IF(AND(Table1[[#This Row],[Smoker]]="Yes",Table1[[#This Row],[Diabetic]]="Yes"),"Yes","No")</f>
        <v>No</v>
      </c>
      <c r="P159" t="str">
        <f>IF(OR(Table1[[#This Row],[Smoker]]="Yes",Table1[[#This Row],[Diabetic]]="Yes"),"Yes","No")</f>
        <v>No</v>
      </c>
      <c r="Q159" s="1" t="str">
        <f>IF(OR(Table1[[#This Row],[Systolic]]&gt;125,Table1[[#This Row],[Diastolic]]&gt;90),"High","Normal")</f>
        <v>High</v>
      </c>
      <c r="R159" s="1">
        <f>Table1[[#This Row],[Discharge_Date]]-Table1[[#This Row],[Admission_Date]]</f>
        <v>9</v>
      </c>
      <c r="S159" s="1"/>
    </row>
    <row r="160" spans="1:19" x14ac:dyDescent="0.3">
      <c r="A160" t="s">
        <v>181</v>
      </c>
      <c r="B160">
        <v>49</v>
      </c>
      <c r="C160" t="s">
        <v>12</v>
      </c>
      <c r="D160">
        <v>19.600000000000001</v>
      </c>
      <c r="E160">
        <v>153</v>
      </c>
      <c r="F160">
        <v>70</v>
      </c>
      <c r="G160" t="s">
        <v>13</v>
      </c>
      <c r="H160" t="s">
        <v>14</v>
      </c>
      <c r="I160" t="s">
        <v>15</v>
      </c>
      <c r="J160" s="2">
        <v>1534.23</v>
      </c>
      <c r="K160" s="3">
        <v>45746</v>
      </c>
      <c r="L160" s="3">
        <v>45760</v>
      </c>
      <c r="M160" t="s">
        <v>19</v>
      </c>
      <c r="N160" t="str">
        <f>IF(Table1[[#This Row],[Age]]&lt;25,"&lt; 25",IF(Table1[[#This Row],[Age]]&lt;36,"25-35",IF(Table1[[#This Row],[Age]]&lt;51,"36-50",IF(Table1[[#This Row],[Age]]&lt;66,"51-65",IF(Table1[[#This Row],[Age]]&gt;65,"&gt;65","none")))))</f>
        <v>36-50</v>
      </c>
      <c r="O160" t="str">
        <f>IF(AND(Table1[[#This Row],[Smoker]]="Yes",Table1[[#This Row],[Diabetic]]="Yes"),"Yes","No")</f>
        <v>No</v>
      </c>
      <c r="P160" t="str">
        <f>IF(OR(Table1[[#This Row],[Smoker]]="Yes",Table1[[#This Row],[Diabetic]]="Yes"),"Yes","No")</f>
        <v>Yes</v>
      </c>
      <c r="Q160" s="1" t="str">
        <f>IF(OR(Table1[[#This Row],[Systolic]]&gt;125,Table1[[#This Row],[Diastolic]]&gt;90),"High","Normal")</f>
        <v>High</v>
      </c>
      <c r="R160" s="1">
        <f>Table1[[#This Row],[Discharge_Date]]-Table1[[#This Row],[Admission_Date]]</f>
        <v>14</v>
      </c>
      <c r="S160" s="1"/>
    </row>
    <row r="161" spans="1:19" x14ac:dyDescent="0.3">
      <c r="A161" t="s">
        <v>182</v>
      </c>
      <c r="B161">
        <v>52</v>
      </c>
      <c r="C161" t="s">
        <v>12</v>
      </c>
      <c r="D161">
        <v>29.7</v>
      </c>
      <c r="E161">
        <v>94</v>
      </c>
      <c r="F161">
        <v>76</v>
      </c>
      <c r="G161" t="s">
        <v>13</v>
      </c>
      <c r="H161" t="s">
        <v>13</v>
      </c>
      <c r="I161" t="s">
        <v>25</v>
      </c>
      <c r="J161" s="2">
        <v>1635.83</v>
      </c>
      <c r="K161" s="3">
        <v>45615</v>
      </c>
      <c r="L161" s="3">
        <v>45628</v>
      </c>
      <c r="M161" t="s">
        <v>19</v>
      </c>
      <c r="N161" t="str">
        <f>IF(Table1[[#This Row],[Age]]&lt;25,"&lt; 25",IF(Table1[[#This Row],[Age]]&lt;36,"25-35",IF(Table1[[#This Row],[Age]]&lt;51,"36-50",IF(Table1[[#This Row],[Age]]&lt;66,"51-65",IF(Table1[[#This Row],[Age]]&gt;65,"&gt;65","none")))))</f>
        <v>51-65</v>
      </c>
      <c r="O161" t="str">
        <f>IF(AND(Table1[[#This Row],[Smoker]]="Yes",Table1[[#This Row],[Diabetic]]="Yes"),"Yes","No")</f>
        <v>No</v>
      </c>
      <c r="P161" t="str">
        <f>IF(OR(Table1[[#This Row],[Smoker]]="Yes",Table1[[#This Row],[Diabetic]]="Yes"),"Yes","No")</f>
        <v>No</v>
      </c>
      <c r="Q161" s="1" t="str">
        <f>IF(OR(Table1[[#This Row],[Systolic]]&gt;125,Table1[[#This Row],[Diastolic]]&gt;90),"High","Normal")</f>
        <v>Normal</v>
      </c>
      <c r="R161" s="1">
        <f>Table1[[#This Row],[Discharge_Date]]-Table1[[#This Row],[Admission_Date]]</f>
        <v>13</v>
      </c>
      <c r="S161" s="1"/>
    </row>
    <row r="162" spans="1:19" x14ac:dyDescent="0.3">
      <c r="A162" t="s">
        <v>183</v>
      </c>
      <c r="B162">
        <v>44</v>
      </c>
      <c r="C162" t="s">
        <v>18</v>
      </c>
      <c r="D162">
        <v>21.3</v>
      </c>
      <c r="E162">
        <v>115</v>
      </c>
      <c r="F162">
        <v>118</v>
      </c>
      <c r="G162" t="s">
        <v>13</v>
      </c>
      <c r="H162" t="s">
        <v>14</v>
      </c>
      <c r="I162" t="s">
        <v>32</v>
      </c>
      <c r="J162" s="2">
        <v>141.18</v>
      </c>
      <c r="K162" s="3">
        <v>45888</v>
      </c>
      <c r="L162" s="3">
        <v>45901</v>
      </c>
      <c r="M162" t="s">
        <v>16</v>
      </c>
      <c r="N162" t="str">
        <f>IF(Table1[[#This Row],[Age]]&lt;25,"&lt; 25",IF(Table1[[#This Row],[Age]]&lt;36,"25-35",IF(Table1[[#This Row],[Age]]&lt;51,"36-50",IF(Table1[[#This Row],[Age]]&lt;66,"51-65",IF(Table1[[#This Row],[Age]]&gt;65,"&gt;65","none")))))</f>
        <v>36-50</v>
      </c>
      <c r="O162" t="str">
        <f>IF(AND(Table1[[#This Row],[Smoker]]="Yes",Table1[[#This Row],[Diabetic]]="Yes"),"Yes","No")</f>
        <v>No</v>
      </c>
      <c r="P162" t="str">
        <f>IF(OR(Table1[[#This Row],[Smoker]]="Yes",Table1[[#This Row],[Diabetic]]="Yes"),"Yes","No")</f>
        <v>Yes</v>
      </c>
      <c r="Q162" s="1" t="str">
        <f>IF(OR(Table1[[#This Row],[Systolic]]&gt;125,Table1[[#This Row],[Diastolic]]&gt;90),"High","Normal")</f>
        <v>High</v>
      </c>
      <c r="R162" s="1">
        <f>Table1[[#This Row],[Discharge_Date]]-Table1[[#This Row],[Admission_Date]]</f>
        <v>13</v>
      </c>
      <c r="S162" s="1"/>
    </row>
    <row r="163" spans="1:19" x14ac:dyDescent="0.3">
      <c r="A163" t="s">
        <v>184</v>
      </c>
      <c r="B163">
        <v>63</v>
      </c>
      <c r="C163" t="s">
        <v>18</v>
      </c>
      <c r="D163">
        <v>22.3</v>
      </c>
      <c r="E163">
        <v>154</v>
      </c>
      <c r="F163">
        <v>104</v>
      </c>
      <c r="G163" t="s">
        <v>13</v>
      </c>
      <c r="H163" t="s">
        <v>14</v>
      </c>
      <c r="I163" t="s">
        <v>32</v>
      </c>
      <c r="J163" s="2">
        <v>1013.59</v>
      </c>
      <c r="K163" s="3">
        <v>45747</v>
      </c>
      <c r="L163" s="3">
        <v>45759</v>
      </c>
      <c r="M163" t="s">
        <v>23</v>
      </c>
      <c r="N163" t="str">
        <f>IF(Table1[[#This Row],[Age]]&lt;25,"&lt; 25",IF(Table1[[#This Row],[Age]]&lt;36,"25-35",IF(Table1[[#This Row],[Age]]&lt;51,"36-50",IF(Table1[[#This Row],[Age]]&lt;66,"51-65",IF(Table1[[#This Row],[Age]]&gt;65,"&gt;65","none")))))</f>
        <v>51-65</v>
      </c>
      <c r="O163" t="str">
        <f>IF(AND(Table1[[#This Row],[Smoker]]="Yes",Table1[[#This Row],[Diabetic]]="Yes"),"Yes","No")</f>
        <v>No</v>
      </c>
      <c r="P163" t="str">
        <f>IF(OR(Table1[[#This Row],[Smoker]]="Yes",Table1[[#This Row],[Diabetic]]="Yes"),"Yes","No")</f>
        <v>Yes</v>
      </c>
      <c r="Q163" s="1" t="str">
        <f>IF(OR(Table1[[#This Row],[Systolic]]&gt;125,Table1[[#This Row],[Diastolic]]&gt;90),"High","Normal")</f>
        <v>High</v>
      </c>
      <c r="R163" s="1">
        <f>Table1[[#This Row],[Discharge_Date]]-Table1[[#This Row],[Admission_Date]]</f>
        <v>12</v>
      </c>
      <c r="S163" s="1"/>
    </row>
    <row r="164" spans="1:19" x14ac:dyDescent="0.3">
      <c r="A164" t="s">
        <v>185</v>
      </c>
      <c r="B164">
        <v>42</v>
      </c>
      <c r="C164" t="s">
        <v>12</v>
      </c>
      <c r="D164">
        <v>29.4</v>
      </c>
      <c r="E164">
        <v>174</v>
      </c>
      <c r="F164">
        <v>84</v>
      </c>
      <c r="G164" t="s">
        <v>14</v>
      </c>
      <c r="H164" t="s">
        <v>14</v>
      </c>
      <c r="I164" t="s">
        <v>34</v>
      </c>
      <c r="J164" s="2">
        <v>1143.83</v>
      </c>
      <c r="K164" s="3">
        <v>45932</v>
      </c>
      <c r="L164" s="3">
        <v>45934</v>
      </c>
      <c r="M164" t="s">
        <v>16</v>
      </c>
      <c r="N164" t="str">
        <f>IF(Table1[[#This Row],[Age]]&lt;25,"&lt; 25",IF(Table1[[#This Row],[Age]]&lt;36,"25-35",IF(Table1[[#This Row],[Age]]&lt;51,"36-50",IF(Table1[[#This Row],[Age]]&lt;66,"51-65",IF(Table1[[#This Row],[Age]]&gt;65,"&gt;65","none")))))</f>
        <v>36-50</v>
      </c>
      <c r="O164" t="str">
        <f>IF(AND(Table1[[#This Row],[Smoker]]="Yes",Table1[[#This Row],[Diabetic]]="Yes"),"Yes","No")</f>
        <v>Yes</v>
      </c>
      <c r="P164" t="str">
        <f>IF(OR(Table1[[#This Row],[Smoker]]="Yes",Table1[[#This Row],[Diabetic]]="Yes"),"Yes","No")</f>
        <v>Yes</v>
      </c>
      <c r="Q164" s="1" t="str">
        <f>IF(OR(Table1[[#This Row],[Systolic]]&gt;125,Table1[[#This Row],[Diastolic]]&gt;90),"High","Normal")</f>
        <v>High</v>
      </c>
      <c r="R164" s="1">
        <f>Table1[[#This Row],[Discharge_Date]]-Table1[[#This Row],[Admission_Date]]</f>
        <v>2</v>
      </c>
      <c r="S164" s="1"/>
    </row>
    <row r="165" spans="1:19" x14ac:dyDescent="0.3">
      <c r="A165" t="s">
        <v>186</v>
      </c>
      <c r="B165">
        <v>37</v>
      </c>
      <c r="C165" t="s">
        <v>12</v>
      </c>
      <c r="D165">
        <v>21.2</v>
      </c>
      <c r="E165">
        <v>97</v>
      </c>
      <c r="F165">
        <v>119</v>
      </c>
      <c r="G165" t="s">
        <v>13</v>
      </c>
      <c r="H165" t="s">
        <v>13</v>
      </c>
      <c r="I165" t="s">
        <v>21</v>
      </c>
      <c r="J165" s="2">
        <v>3598.47</v>
      </c>
      <c r="K165" s="3">
        <v>45621</v>
      </c>
      <c r="L165" s="3">
        <v>45633</v>
      </c>
      <c r="M165" t="s">
        <v>23</v>
      </c>
      <c r="N165" t="str">
        <f>IF(Table1[[#This Row],[Age]]&lt;25,"&lt; 25",IF(Table1[[#This Row],[Age]]&lt;36,"25-35",IF(Table1[[#This Row],[Age]]&lt;51,"36-50",IF(Table1[[#This Row],[Age]]&lt;66,"51-65",IF(Table1[[#This Row],[Age]]&gt;65,"&gt;65","none")))))</f>
        <v>36-50</v>
      </c>
      <c r="O165" t="str">
        <f>IF(AND(Table1[[#This Row],[Smoker]]="Yes",Table1[[#This Row],[Diabetic]]="Yes"),"Yes","No")</f>
        <v>No</v>
      </c>
      <c r="P165" t="str">
        <f>IF(OR(Table1[[#This Row],[Smoker]]="Yes",Table1[[#This Row],[Diabetic]]="Yes"),"Yes","No")</f>
        <v>No</v>
      </c>
      <c r="Q165" s="1" t="str">
        <f>IF(OR(Table1[[#This Row],[Systolic]]&gt;125,Table1[[#This Row],[Diastolic]]&gt;90),"High","Normal")</f>
        <v>High</v>
      </c>
      <c r="R165" s="1">
        <f>Table1[[#This Row],[Discharge_Date]]-Table1[[#This Row],[Admission_Date]]</f>
        <v>12</v>
      </c>
      <c r="S165" s="1"/>
    </row>
    <row r="166" spans="1:19" x14ac:dyDescent="0.3">
      <c r="A166" t="s">
        <v>187</v>
      </c>
      <c r="B166">
        <v>28</v>
      </c>
      <c r="C166" t="s">
        <v>18</v>
      </c>
      <c r="D166">
        <v>25.5</v>
      </c>
      <c r="E166">
        <v>180</v>
      </c>
      <c r="F166">
        <v>112</v>
      </c>
      <c r="G166" t="s">
        <v>13</v>
      </c>
      <c r="H166" t="s">
        <v>13</v>
      </c>
      <c r="I166" t="s">
        <v>15</v>
      </c>
      <c r="J166" s="2">
        <v>747.91</v>
      </c>
      <c r="K166" s="3">
        <v>45668</v>
      </c>
      <c r="L166" s="3">
        <v>45669</v>
      </c>
      <c r="M166" t="s">
        <v>23</v>
      </c>
      <c r="N166" t="str">
        <f>IF(Table1[[#This Row],[Age]]&lt;25,"&lt; 25",IF(Table1[[#This Row],[Age]]&lt;36,"25-35",IF(Table1[[#This Row],[Age]]&lt;51,"36-50",IF(Table1[[#This Row],[Age]]&lt;66,"51-65",IF(Table1[[#This Row],[Age]]&gt;65,"&gt;65","none")))))</f>
        <v>25-35</v>
      </c>
      <c r="O166" t="str">
        <f>IF(AND(Table1[[#This Row],[Smoker]]="Yes",Table1[[#This Row],[Diabetic]]="Yes"),"Yes","No")</f>
        <v>No</v>
      </c>
      <c r="P166" t="str">
        <f>IF(OR(Table1[[#This Row],[Smoker]]="Yes",Table1[[#This Row],[Diabetic]]="Yes"),"Yes","No")</f>
        <v>No</v>
      </c>
      <c r="Q166" s="1" t="str">
        <f>IF(OR(Table1[[#This Row],[Systolic]]&gt;125,Table1[[#This Row],[Diastolic]]&gt;90),"High","Normal")</f>
        <v>High</v>
      </c>
      <c r="R166" s="1">
        <f>Table1[[#This Row],[Discharge_Date]]-Table1[[#This Row],[Admission_Date]]</f>
        <v>1</v>
      </c>
      <c r="S166" s="1"/>
    </row>
    <row r="167" spans="1:19" x14ac:dyDescent="0.3">
      <c r="A167" t="s">
        <v>188</v>
      </c>
      <c r="B167">
        <v>55</v>
      </c>
      <c r="C167" t="s">
        <v>12</v>
      </c>
      <c r="D167">
        <v>38.700000000000003</v>
      </c>
      <c r="E167">
        <v>159</v>
      </c>
      <c r="F167">
        <v>66</v>
      </c>
      <c r="G167" t="s">
        <v>14</v>
      </c>
      <c r="H167" t="s">
        <v>13</v>
      </c>
      <c r="I167" t="s">
        <v>21</v>
      </c>
      <c r="J167" s="2">
        <v>3008.49</v>
      </c>
      <c r="K167" s="3">
        <v>45765</v>
      </c>
      <c r="L167" s="3">
        <v>45766</v>
      </c>
      <c r="M167" t="s">
        <v>23</v>
      </c>
      <c r="N167" t="str">
        <f>IF(Table1[[#This Row],[Age]]&lt;25,"&lt; 25",IF(Table1[[#This Row],[Age]]&lt;36,"25-35",IF(Table1[[#This Row],[Age]]&lt;51,"36-50",IF(Table1[[#This Row],[Age]]&lt;66,"51-65",IF(Table1[[#This Row],[Age]]&gt;65,"&gt;65","none")))))</f>
        <v>51-65</v>
      </c>
      <c r="O167" t="str">
        <f>IF(AND(Table1[[#This Row],[Smoker]]="Yes",Table1[[#This Row],[Diabetic]]="Yes"),"Yes","No")</f>
        <v>No</v>
      </c>
      <c r="P167" t="str">
        <f>IF(OR(Table1[[#This Row],[Smoker]]="Yes",Table1[[#This Row],[Diabetic]]="Yes"),"Yes","No")</f>
        <v>Yes</v>
      </c>
      <c r="Q167" s="1" t="str">
        <f>IF(OR(Table1[[#This Row],[Systolic]]&gt;125,Table1[[#This Row],[Diastolic]]&gt;90),"High","Normal")</f>
        <v>High</v>
      </c>
      <c r="R167" s="1">
        <f>Table1[[#This Row],[Discharge_Date]]-Table1[[#This Row],[Admission_Date]]</f>
        <v>1</v>
      </c>
      <c r="S167" s="1"/>
    </row>
    <row r="168" spans="1:19" x14ac:dyDescent="0.3">
      <c r="A168" t="s">
        <v>189</v>
      </c>
      <c r="B168">
        <v>76</v>
      </c>
      <c r="C168" t="s">
        <v>18</v>
      </c>
      <c r="D168">
        <v>31.5</v>
      </c>
      <c r="E168">
        <v>147</v>
      </c>
      <c r="F168">
        <v>89</v>
      </c>
      <c r="G168" t="s">
        <v>13</v>
      </c>
      <c r="H168" t="s">
        <v>13</v>
      </c>
      <c r="I168" t="s">
        <v>15</v>
      </c>
      <c r="J168" s="2">
        <v>3897.78</v>
      </c>
      <c r="K168" s="3">
        <v>45931</v>
      </c>
      <c r="L168" s="3">
        <v>45940</v>
      </c>
      <c r="M168" t="s">
        <v>16</v>
      </c>
      <c r="N168" t="str">
        <f>IF(Table1[[#This Row],[Age]]&lt;25,"&lt; 25",IF(Table1[[#This Row],[Age]]&lt;36,"25-35",IF(Table1[[#This Row],[Age]]&lt;51,"36-50",IF(Table1[[#This Row],[Age]]&lt;66,"51-65",IF(Table1[[#This Row],[Age]]&gt;65,"&gt;65","none")))))</f>
        <v>&gt;65</v>
      </c>
      <c r="O168" t="str">
        <f>IF(AND(Table1[[#This Row],[Smoker]]="Yes",Table1[[#This Row],[Diabetic]]="Yes"),"Yes","No")</f>
        <v>No</v>
      </c>
      <c r="P168" t="str">
        <f>IF(OR(Table1[[#This Row],[Smoker]]="Yes",Table1[[#This Row],[Diabetic]]="Yes"),"Yes","No")</f>
        <v>No</v>
      </c>
      <c r="Q168" s="1" t="str">
        <f>IF(OR(Table1[[#This Row],[Systolic]]&gt;125,Table1[[#This Row],[Diastolic]]&gt;90),"High","Normal")</f>
        <v>High</v>
      </c>
      <c r="R168" s="1">
        <f>Table1[[#This Row],[Discharge_Date]]-Table1[[#This Row],[Admission_Date]]</f>
        <v>9</v>
      </c>
      <c r="S168" s="1"/>
    </row>
    <row r="169" spans="1:19" x14ac:dyDescent="0.3">
      <c r="A169" t="s">
        <v>190</v>
      </c>
      <c r="B169">
        <v>82</v>
      </c>
      <c r="C169" t="s">
        <v>18</v>
      </c>
      <c r="D169">
        <v>19.600000000000001</v>
      </c>
      <c r="E169">
        <v>112</v>
      </c>
      <c r="F169">
        <v>117</v>
      </c>
      <c r="G169" t="s">
        <v>14</v>
      </c>
      <c r="H169" t="s">
        <v>14</v>
      </c>
      <c r="I169" t="s">
        <v>34</v>
      </c>
      <c r="J169" s="2">
        <v>4348.03</v>
      </c>
      <c r="K169" s="3">
        <v>45824</v>
      </c>
      <c r="L169" s="3">
        <v>45836</v>
      </c>
      <c r="M169" t="s">
        <v>23</v>
      </c>
      <c r="N169" t="str">
        <f>IF(Table1[[#This Row],[Age]]&lt;25,"&lt; 25",IF(Table1[[#This Row],[Age]]&lt;36,"25-35",IF(Table1[[#This Row],[Age]]&lt;51,"36-50",IF(Table1[[#This Row],[Age]]&lt;66,"51-65",IF(Table1[[#This Row],[Age]]&gt;65,"&gt;65","none")))))</f>
        <v>&gt;65</v>
      </c>
      <c r="O169" t="str">
        <f>IF(AND(Table1[[#This Row],[Smoker]]="Yes",Table1[[#This Row],[Diabetic]]="Yes"),"Yes","No")</f>
        <v>Yes</v>
      </c>
      <c r="P169" t="str">
        <f>IF(OR(Table1[[#This Row],[Smoker]]="Yes",Table1[[#This Row],[Diabetic]]="Yes"),"Yes","No")</f>
        <v>Yes</v>
      </c>
      <c r="Q169" s="1" t="str">
        <f>IF(OR(Table1[[#This Row],[Systolic]]&gt;125,Table1[[#This Row],[Diastolic]]&gt;90),"High","Normal")</f>
        <v>High</v>
      </c>
      <c r="R169" s="1">
        <f>Table1[[#This Row],[Discharge_Date]]-Table1[[#This Row],[Admission_Date]]</f>
        <v>12</v>
      </c>
      <c r="S169" s="1"/>
    </row>
    <row r="170" spans="1:19" x14ac:dyDescent="0.3">
      <c r="A170" t="s">
        <v>191</v>
      </c>
      <c r="B170">
        <v>82</v>
      </c>
      <c r="C170" t="s">
        <v>18</v>
      </c>
      <c r="D170">
        <v>32.700000000000003</v>
      </c>
      <c r="E170">
        <v>91</v>
      </c>
      <c r="F170">
        <v>80</v>
      </c>
      <c r="G170" t="s">
        <v>14</v>
      </c>
      <c r="H170" t="s">
        <v>13</v>
      </c>
      <c r="I170" t="s">
        <v>34</v>
      </c>
      <c r="J170" s="2">
        <v>2480.9499999999998</v>
      </c>
      <c r="K170" s="3">
        <v>45708</v>
      </c>
      <c r="L170" s="3">
        <v>45719</v>
      </c>
      <c r="M170" t="s">
        <v>16</v>
      </c>
      <c r="N170" t="str">
        <f>IF(Table1[[#This Row],[Age]]&lt;25,"&lt; 25",IF(Table1[[#This Row],[Age]]&lt;36,"25-35",IF(Table1[[#This Row],[Age]]&lt;51,"36-50",IF(Table1[[#This Row],[Age]]&lt;66,"51-65",IF(Table1[[#This Row],[Age]]&gt;65,"&gt;65","none")))))</f>
        <v>&gt;65</v>
      </c>
      <c r="O170" t="str">
        <f>IF(AND(Table1[[#This Row],[Smoker]]="Yes",Table1[[#This Row],[Diabetic]]="Yes"),"Yes","No")</f>
        <v>No</v>
      </c>
      <c r="P170" t="str">
        <f>IF(OR(Table1[[#This Row],[Smoker]]="Yes",Table1[[#This Row],[Diabetic]]="Yes"),"Yes","No")</f>
        <v>Yes</v>
      </c>
      <c r="Q170" s="1" t="str">
        <f>IF(OR(Table1[[#This Row],[Systolic]]&gt;125,Table1[[#This Row],[Diastolic]]&gt;90),"High","Normal")</f>
        <v>Normal</v>
      </c>
      <c r="R170" s="1">
        <f>Table1[[#This Row],[Discharge_Date]]-Table1[[#This Row],[Admission_Date]]</f>
        <v>11</v>
      </c>
      <c r="S170" s="1"/>
    </row>
    <row r="171" spans="1:19" x14ac:dyDescent="0.3">
      <c r="A171" t="s">
        <v>192</v>
      </c>
      <c r="B171">
        <v>82</v>
      </c>
      <c r="C171" t="s">
        <v>12</v>
      </c>
      <c r="D171">
        <v>22.9</v>
      </c>
      <c r="E171">
        <v>158</v>
      </c>
      <c r="F171">
        <v>116</v>
      </c>
      <c r="G171" t="s">
        <v>14</v>
      </c>
      <c r="H171" t="s">
        <v>14</v>
      </c>
      <c r="I171" t="s">
        <v>34</v>
      </c>
      <c r="J171" s="2">
        <v>2722.86</v>
      </c>
      <c r="K171" s="3">
        <v>45928</v>
      </c>
      <c r="L171" s="3">
        <v>45939</v>
      </c>
      <c r="M171" t="s">
        <v>19</v>
      </c>
      <c r="N171" t="str">
        <f>IF(Table1[[#This Row],[Age]]&lt;25,"&lt; 25",IF(Table1[[#This Row],[Age]]&lt;36,"25-35",IF(Table1[[#This Row],[Age]]&lt;51,"36-50",IF(Table1[[#This Row],[Age]]&lt;66,"51-65",IF(Table1[[#This Row],[Age]]&gt;65,"&gt;65","none")))))</f>
        <v>&gt;65</v>
      </c>
      <c r="O171" t="str">
        <f>IF(AND(Table1[[#This Row],[Smoker]]="Yes",Table1[[#This Row],[Diabetic]]="Yes"),"Yes","No")</f>
        <v>Yes</v>
      </c>
      <c r="P171" t="str">
        <f>IF(OR(Table1[[#This Row],[Smoker]]="Yes",Table1[[#This Row],[Diabetic]]="Yes"),"Yes","No")</f>
        <v>Yes</v>
      </c>
      <c r="Q171" s="1" t="str">
        <f>IF(OR(Table1[[#This Row],[Systolic]]&gt;125,Table1[[#This Row],[Diastolic]]&gt;90),"High","Normal")</f>
        <v>High</v>
      </c>
      <c r="R171" s="1">
        <f>Table1[[#This Row],[Discharge_Date]]-Table1[[#This Row],[Admission_Date]]</f>
        <v>11</v>
      </c>
      <c r="S171" s="1"/>
    </row>
    <row r="172" spans="1:19" x14ac:dyDescent="0.3">
      <c r="A172" t="s">
        <v>193</v>
      </c>
      <c r="B172">
        <v>18</v>
      </c>
      <c r="C172" t="s">
        <v>18</v>
      </c>
      <c r="D172">
        <v>22.7</v>
      </c>
      <c r="E172">
        <v>136</v>
      </c>
      <c r="F172">
        <v>70</v>
      </c>
      <c r="G172" t="s">
        <v>13</v>
      </c>
      <c r="H172" t="s">
        <v>14</v>
      </c>
      <c r="I172" t="s">
        <v>34</v>
      </c>
      <c r="J172" s="2">
        <v>1456.63</v>
      </c>
      <c r="K172" s="3">
        <v>45905</v>
      </c>
      <c r="L172" s="3">
        <v>45906</v>
      </c>
      <c r="M172" t="s">
        <v>19</v>
      </c>
      <c r="N172" t="str">
        <f>IF(Table1[[#This Row],[Age]]&lt;25,"&lt; 25",IF(Table1[[#This Row],[Age]]&lt;36,"25-35",IF(Table1[[#This Row],[Age]]&lt;51,"36-50",IF(Table1[[#This Row],[Age]]&lt;66,"51-65",IF(Table1[[#This Row],[Age]]&gt;65,"&gt;65","none")))))</f>
        <v>&lt; 25</v>
      </c>
      <c r="O172" t="str">
        <f>IF(AND(Table1[[#This Row],[Smoker]]="Yes",Table1[[#This Row],[Diabetic]]="Yes"),"Yes","No")</f>
        <v>No</v>
      </c>
      <c r="P172" t="str">
        <f>IF(OR(Table1[[#This Row],[Smoker]]="Yes",Table1[[#This Row],[Diabetic]]="Yes"),"Yes","No")</f>
        <v>Yes</v>
      </c>
      <c r="Q172" s="1" t="str">
        <f>IF(OR(Table1[[#This Row],[Systolic]]&gt;125,Table1[[#This Row],[Diastolic]]&gt;90),"High","Normal")</f>
        <v>High</v>
      </c>
      <c r="R172" s="1">
        <f>Table1[[#This Row],[Discharge_Date]]-Table1[[#This Row],[Admission_Date]]</f>
        <v>1</v>
      </c>
      <c r="S172" s="1"/>
    </row>
    <row r="173" spans="1:19" x14ac:dyDescent="0.3">
      <c r="A173" t="s">
        <v>194</v>
      </c>
      <c r="B173">
        <v>89</v>
      </c>
      <c r="C173" t="s">
        <v>12</v>
      </c>
      <c r="D173">
        <v>29.3</v>
      </c>
      <c r="E173">
        <v>156</v>
      </c>
      <c r="F173">
        <v>113</v>
      </c>
      <c r="G173" t="s">
        <v>13</v>
      </c>
      <c r="H173" t="s">
        <v>13</v>
      </c>
      <c r="I173" t="s">
        <v>21</v>
      </c>
      <c r="J173" s="2">
        <v>2788.24</v>
      </c>
      <c r="K173" s="3">
        <v>45635</v>
      </c>
      <c r="L173" s="3">
        <v>45645</v>
      </c>
      <c r="M173" t="s">
        <v>23</v>
      </c>
      <c r="N173" t="str">
        <f>IF(Table1[[#This Row],[Age]]&lt;25,"&lt; 25",IF(Table1[[#This Row],[Age]]&lt;36,"25-35",IF(Table1[[#This Row],[Age]]&lt;51,"36-50",IF(Table1[[#This Row],[Age]]&lt;66,"51-65",IF(Table1[[#This Row],[Age]]&gt;65,"&gt;65","none")))))</f>
        <v>&gt;65</v>
      </c>
      <c r="O173" t="str">
        <f>IF(AND(Table1[[#This Row],[Smoker]]="Yes",Table1[[#This Row],[Diabetic]]="Yes"),"Yes","No")</f>
        <v>No</v>
      </c>
      <c r="P173" t="str">
        <f>IF(OR(Table1[[#This Row],[Smoker]]="Yes",Table1[[#This Row],[Diabetic]]="Yes"),"Yes","No")</f>
        <v>No</v>
      </c>
      <c r="Q173" s="1" t="str">
        <f>IF(OR(Table1[[#This Row],[Systolic]]&gt;125,Table1[[#This Row],[Diastolic]]&gt;90),"High","Normal")</f>
        <v>High</v>
      </c>
      <c r="R173" s="1">
        <f>Table1[[#This Row],[Discharge_Date]]-Table1[[#This Row],[Admission_Date]]</f>
        <v>10</v>
      </c>
      <c r="S173" s="1"/>
    </row>
    <row r="174" spans="1:19" x14ac:dyDescent="0.3">
      <c r="A174" t="s">
        <v>195</v>
      </c>
      <c r="B174">
        <v>24</v>
      </c>
      <c r="C174" t="s">
        <v>12</v>
      </c>
      <c r="D174">
        <v>18</v>
      </c>
      <c r="E174">
        <v>132</v>
      </c>
      <c r="F174">
        <v>94</v>
      </c>
      <c r="G174" t="s">
        <v>13</v>
      </c>
      <c r="H174" t="s">
        <v>14</v>
      </c>
      <c r="I174" t="s">
        <v>21</v>
      </c>
      <c r="J174" s="2">
        <v>884.93</v>
      </c>
      <c r="K174" s="3">
        <v>45711</v>
      </c>
      <c r="L174" s="3">
        <v>45720</v>
      </c>
      <c r="M174" t="s">
        <v>19</v>
      </c>
      <c r="N174" t="str">
        <f>IF(Table1[[#This Row],[Age]]&lt;25,"&lt; 25",IF(Table1[[#This Row],[Age]]&lt;36,"25-35",IF(Table1[[#This Row],[Age]]&lt;51,"36-50",IF(Table1[[#This Row],[Age]]&lt;66,"51-65",IF(Table1[[#This Row],[Age]]&gt;65,"&gt;65","none")))))</f>
        <v>&lt; 25</v>
      </c>
      <c r="O174" t="str">
        <f>IF(AND(Table1[[#This Row],[Smoker]]="Yes",Table1[[#This Row],[Diabetic]]="Yes"),"Yes","No")</f>
        <v>No</v>
      </c>
      <c r="P174" t="str">
        <f>IF(OR(Table1[[#This Row],[Smoker]]="Yes",Table1[[#This Row],[Diabetic]]="Yes"),"Yes","No")</f>
        <v>Yes</v>
      </c>
      <c r="Q174" s="1" t="str">
        <f>IF(OR(Table1[[#This Row],[Systolic]]&gt;125,Table1[[#This Row],[Diastolic]]&gt;90),"High","Normal")</f>
        <v>High</v>
      </c>
      <c r="R174" s="1">
        <f>Table1[[#This Row],[Discharge_Date]]-Table1[[#This Row],[Admission_Date]]</f>
        <v>9</v>
      </c>
      <c r="S174" s="1"/>
    </row>
    <row r="175" spans="1:19" x14ac:dyDescent="0.3">
      <c r="A175" t="s">
        <v>196</v>
      </c>
      <c r="B175">
        <v>90</v>
      </c>
      <c r="C175" t="s">
        <v>12</v>
      </c>
      <c r="D175">
        <v>26.2</v>
      </c>
      <c r="E175">
        <v>179</v>
      </c>
      <c r="F175">
        <v>119</v>
      </c>
      <c r="G175" t="s">
        <v>14</v>
      </c>
      <c r="H175" t="s">
        <v>14</v>
      </c>
      <c r="I175" t="s">
        <v>34</v>
      </c>
      <c r="J175" s="2">
        <v>4368.3</v>
      </c>
      <c r="K175" s="3">
        <v>45649</v>
      </c>
      <c r="L175" s="3">
        <v>45661</v>
      </c>
      <c r="M175" t="s">
        <v>16</v>
      </c>
      <c r="N175" t="str">
        <f>IF(Table1[[#This Row],[Age]]&lt;25,"&lt; 25",IF(Table1[[#This Row],[Age]]&lt;36,"25-35",IF(Table1[[#This Row],[Age]]&lt;51,"36-50",IF(Table1[[#This Row],[Age]]&lt;66,"51-65",IF(Table1[[#This Row],[Age]]&gt;65,"&gt;65","none")))))</f>
        <v>&gt;65</v>
      </c>
      <c r="O175" t="str">
        <f>IF(AND(Table1[[#This Row],[Smoker]]="Yes",Table1[[#This Row],[Diabetic]]="Yes"),"Yes","No")</f>
        <v>Yes</v>
      </c>
      <c r="P175" t="str">
        <f>IF(OR(Table1[[#This Row],[Smoker]]="Yes",Table1[[#This Row],[Diabetic]]="Yes"),"Yes","No")</f>
        <v>Yes</v>
      </c>
      <c r="Q175" s="1" t="str">
        <f>IF(OR(Table1[[#This Row],[Systolic]]&gt;125,Table1[[#This Row],[Diastolic]]&gt;90),"High","Normal")</f>
        <v>High</v>
      </c>
      <c r="R175" s="1">
        <f>Table1[[#This Row],[Discharge_Date]]-Table1[[#This Row],[Admission_Date]]</f>
        <v>12</v>
      </c>
      <c r="S175" s="1"/>
    </row>
    <row r="176" spans="1:19" x14ac:dyDescent="0.3">
      <c r="A176" t="s">
        <v>197</v>
      </c>
      <c r="B176">
        <v>44</v>
      </c>
      <c r="C176" t="s">
        <v>18</v>
      </c>
      <c r="D176">
        <v>36.799999999999997</v>
      </c>
      <c r="E176">
        <v>180</v>
      </c>
      <c r="F176">
        <v>117</v>
      </c>
      <c r="G176" t="s">
        <v>14</v>
      </c>
      <c r="H176" t="s">
        <v>14</v>
      </c>
      <c r="I176" t="s">
        <v>21</v>
      </c>
      <c r="J176" s="2">
        <v>3424.59</v>
      </c>
      <c r="K176" s="3">
        <v>45899</v>
      </c>
      <c r="L176" s="3">
        <v>45902</v>
      </c>
      <c r="M176" t="s">
        <v>16</v>
      </c>
      <c r="N176" t="str">
        <f>IF(Table1[[#This Row],[Age]]&lt;25,"&lt; 25",IF(Table1[[#This Row],[Age]]&lt;36,"25-35",IF(Table1[[#This Row],[Age]]&lt;51,"36-50",IF(Table1[[#This Row],[Age]]&lt;66,"51-65",IF(Table1[[#This Row],[Age]]&gt;65,"&gt;65","none")))))</f>
        <v>36-50</v>
      </c>
      <c r="O176" t="str">
        <f>IF(AND(Table1[[#This Row],[Smoker]]="Yes",Table1[[#This Row],[Diabetic]]="Yes"),"Yes","No")</f>
        <v>Yes</v>
      </c>
      <c r="P176" t="str">
        <f>IF(OR(Table1[[#This Row],[Smoker]]="Yes",Table1[[#This Row],[Diabetic]]="Yes"),"Yes","No")</f>
        <v>Yes</v>
      </c>
      <c r="Q176" s="1" t="str">
        <f>IF(OR(Table1[[#This Row],[Systolic]]&gt;125,Table1[[#This Row],[Diastolic]]&gt;90),"High","Normal")</f>
        <v>High</v>
      </c>
      <c r="R176" s="1">
        <f>Table1[[#This Row],[Discharge_Date]]-Table1[[#This Row],[Admission_Date]]</f>
        <v>3</v>
      </c>
      <c r="S176" s="1"/>
    </row>
    <row r="177" spans="1:19" x14ac:dyDescent="0.3">
      <c r="A177" t="s">
        <v>198</v>
      </c>
      <c r="B177">
        <v>23</v>
      </c>
      <c r="C177" t="s">
        <v>12</v>
      </c>
      <c r="D177">
        <v>21</v>
      </c>
      <c r="E177">
        <v>114</v>
      </c>
      <c r="F177">
        <v>95</v>
      </c>
      <c r="G177" t="s">
        <v>13</v>
      </c>
      <c r="H177" t="s">
        <v>13</v>
      </c>
      <c r="I177" t="s">
        <v>34</v>
      </c>
      <c r="J177" s="2">
        <v>325.45</v>
      </c>
      <c r="K177" s="3">
        <v>45740</v>
      </c>
      <c r="L177" s="3">
        <v>45743</v>
      </c>
      <c r="M177" t="s">
        <v>23</v>
      </c>
      <c r="N177" t="str">
        <f>IF(Table1[[#This Row],[Age]]&lt;25,"&lt; 25",IF(Table1[[#This Row],[Age]]&lt;36,"25-35",IF(Table1[[#This Row],[Age]]&lt;51,"36-50",IF(Table1[[#This Row],[Age]]&lt;66,"51-65",IF(Table1[[#This Row],[Age]]&gt;65,"&gt;65","none")))))</f>
        <v>&lt; 25</v>
      </c>
      <c r="O177" t="str">
        <f>IF(AND(Table1[[#This Row],[Smoker]]="Yes",Table1[[#This Row],[Diabetic]]="Yes"),"Yes","No")</f>
        <v>No</v>
      </c>
      <c r="P177" t="str">
        <f>IF(OR(Table1[[#This Row],[Smoker]]="Yes",Table1[[#This Row],[Diabetic]]="Yes"),"Yes","No")</f>
        <v>No</v>
      </c>
      <c r="Q177" s="1" t="str">
        <f>IF(OR(Table1[[#This Row],[Systolic]]&gt;125,Table1[[#This Row],[Diastolic]]&gt;90),"High","Normal")</f>
        <v>High</v>
      </c>
      <c r="R177" s="1">
        <f>Table1[[#This Row],[Discharge_Date]]-Table1[[#This Row],[Admission_Date]]</f>
        <v>3</v>
      </c>
      <c r="S177" s="1"/>
    </row>
    <row r="178" spans="1:19" x14ac:dyDescent="0.3">
      <c r="A178" t="s">
        <v>199</v>
      </c>
      <c r="B178">
        <v>55</v>
      </c>
      <c r="C178" t="s">
        <v>18</v>
      </c>
      <c r="D178">
        <v>23.7</v>
      </c>
      <c r="E178">
        <v>118</v>
      </c>
      <c r="F178">
        <v>68</v>
      </c>
      <c r="G178" t="s">
        <v>13</v>
      </c>
      <c r="H178" t="s">
        <v>13</v>
      </c>
      <c r="I178" t="s">
        <v>32</v>
      </c>
      <c r="J178" s="2">
        <v>4769.1400000000003</v>
      </c>
      <c r="K178" s="3">
        <v>45649</v>
      </c>
      <c r="L178" s="3">
        <v>45660</v>
      </c>
      <c r="M178" t="s">
        <v>16</v>
      </c>
      <c r="N178" t="str">
        <f>IF(Table1[[#This Row],[Age]]&lt;25,"&lt; 25",IF(Table1[[#This Row],[Age]]&lt;36,"25-35",IF(Table1[[#This Row],[Age]]&lt;51,"36-50",IF(Table1[[#This Row],[Age]]&lt;66,"51-65",IF(Table1[[#This Row],[Age]]&gt;65,"&gt;65","none")))))</f>
        <v>51-65</v>
      </c>
      <c r="O178" t="str">
        <f>IF(AND(Table1[[#This Row],[Smoker]]="Yes",Table1[[#This Row],[Diabetic]]="Yes"),"Yes","No")</f>
        <v>No</v>
      </c>
      <c r="P178" t="str">
        <f>IF(OR(Table1[[#This Row],[Smoker]]="Yes",Table1[[#This Row],[Diabetic]]="Yes"),"Yes","No")</f>
        <v>No</v>
      </c>
      <c r="Q178" s="1" t="str">
        <f>IF(OR(Table1[[#This Row],[Systolic]]&gt;125,Table1[[#This Row],[Diastolic]]&gt;90),"High","Normal")</f>
        <v>Normal</v>
      </c>
      <c r="R178" s="1">
        <f>Table1[[#This Row],[Discharge_Date]]-Table1[[#This Row],[Admission_Date]]</f>
        <v>11</v>
      </c>
      <c r="S178" s="1"/>
    </row>
    <row r="179" spans="1:19" x14ac:dyDescent="0.3">
      <c r="A179" t="s">
        <v>200</v>
      </c>
      <c r="B179">
        <v>74</v>
      </c>
      <c r="C179" t="s">
        <v>12</v>
      </c>
      <c r="D179">
        <v>29.7</v>
      </c>
      <c r="E179">
        <v>103</v>
      </c>
      <c r="F179">
        <v>93</v>
      </c>
      <c r="G179" t="s">
        <v>13</v>
      </c>
      <c r="H179" t="s">
        <v>14</v>
      </c>
      <c r="I179" t="s">
        <v>15</v>
      </c>
      <c r="J179" s="2">
        <v>1222.49</v>
      </c>
      <c r="K179" s="3">
        <v>45825</v>
      </c>
      <c r="L179" s="3">
        <v>45827</v>
      </c>
      <c r="M179" t="s">
        <v>16</v>
      </c>
      <c r="N179" t="str">
        <f>IF(Table1[[#This Row],[Age]]&lt;25,"&lt; 25",IF(Table1[[#This Row],[Age]]&lt;36,"25-35",IF(Table1[[#This Row],[Age]]&lt;51,"36-50",IF(Table1[[#This Row],[Age]]&lt;66,"51-65",IF(Table1[[#This Row],[Age]]&gt;65,"&gt;65","none")))))</f>
        <v>&gt;65</v>
      </c>
      <c r="O179" t="str">
        <f>IF(AND(Table1[[#This Row],[Smoker]]="Yes",Table1[[#This Row],[Diabetic]]="Yes"),"Yes","No")</f>
        <v>No</v>
      </c>
      <c r="P179" t="str">
        <f>IF(OR(Table1[[#This Row],[Smoker]]="Yes",Table1[[#This Row],[Diabetic]]="Yes"),"Yes","No")</f>
        <v>Yes</v>
      </c>
      <c r="Q179" s="1" t="str">
        <f>IF(OR(Table1[[#This Row],[Systolic]]&gt;125,Table1[[#This Row],[Diastolic]]&gt;90),"High","Normal")</f>
        <v>High</v>
      </c>
      <c r="R179" s="1">
        <f>Table1[[#This Row],[Discharge_Date]]-Table1[[#This Row],[Admission_Date]]</f>
        <v>2</v>
      </c>
      <c r="S179" s="1"/>
    </row>
    <row r="180" spans="1:19" x14ac:dyDescent="0.3">
      <c r="A180" t="s">
        <v>201</v>
      </c>
      <c r="B180">
        <v>53</v>
      </c>
      <c r="C180" t="s">
        <v>12</v>
      </c>
      <c r="D180">
        <v>23.5</v>
      </c>
      <c r="E180">
        <v>169</v>
      </c>
      <c r="F180">
        <v>100</v>
      </c>
      <c r="G180" t="s">
        <v>14</v>
      </c>
      <c r="H180" t="s">
        <v>13</v>
      </c>
      <c r="I180" t="s">
        <v>21</v>
      </c>
      <c r="J180" s="2">
        <v>510.63</v>
      </c>
      <c r="K180" s="3">
        <v>45800</v>
      </c>
      <c r="L180" s="3">
        <v>45803</v>
      </c>
      <c r="M180" t="s">
        <v>16</v>
      </c>
      <c r="N180" t="str">
        <f>IF(Table1[[#This Row],[Age]]&lt;25,"&lt; 25",IF(Table1[[#This Row],[Age]]&lt;36,"25-35",IF(Table1[[#This Row],[Age]]&lt;51,"36-50",IF(Table1[[#This Row],[Age]]&lt;66,"51-65",IF(Table1[[#This Row],[Age]]&gt;65,"&gt;65","none")))))</f>
        <v>51-65</v>
      </c>
      <c r="O180" t="str">
        <f>IF(AND(Table1[[#This Row],[Smoker]]="Yes",Table1[[#This Row],[Diabetic]]="Yes"),"Yes","No")</f>
        <v>No</v>
      </c>
      <c r="P180" t="str">
        <f>IF(OR(Table1[[#This Row],[Smoker]]="Yes",Table1[[#This Row],[Diabetic]]="Yes"),"Yes","No")</f>
        <v>Yes</v>
      </c>
      <c r="Q180" s="1" t="str">
        <f>IF(OR(Table1[[#This Row],[Systolic]]&gt;125,Table1[[#This Row],[Diastolic]]&gt;90),"High","Normal")</f>
        <v>High</v>
      </c>
      <c r="R180" s="1">
        <f>Table1[[#This Row],[Discharge_Date]]-Table1[[#This Row],[Admission_Date]]</f>
        <v>3</v>
      </c>
      <c r="S180" s="1"/>
    </row>
    <row r="181" spans="1:19" x14ac:dyDescent="0.3">
      <c r="A181" t="s">
        <v>202</v>
      </c>
      <c r="B181">
        <v>38</v>
      </c>
      <c r="C181" t="s">
        <v>12</v>
      </c>
      <c r="D181">
        <v>23.1</v>
      </c>
      <c r="E181">
        <v>91</v>
      </c>
      <c r="F181">
        <v>96</v>
      </c>
      <c r="G181" t="s">
        <v>14</v>
      </c>
      <c r="H181" t="s">
        <v>14</v>
      </c>
      <c r="I181" t="s">
        <v>32</v>
      </c>
      <c r="J181" s="2">
        <v>4415.9799999999996</v>
      </c>
      <c r="K181" s="3">
        <v>45750</v>
      </c>
      <c r="L181" s="3">
        <v>45754</v>
      </c>
      <c r="M181" t="s">
        <v>19</v>
      </c>
      <c r="N181" t="str">
        <f>IF(Table1[[#This Row],[Age]]&lt;25,"&lt; 25",IF(Table1[[#This Row],[Age]]&lt;36,"25-35",IF(Table1[[#This Row],[Age]]&lt;51,"36-50",IF(Table1[[#This Row],[Age]]&lt;66,"51-65",IF(Table1[[#This Row],[Age]]&gt;65,"&gt;65","none")))))</f>
        <v>36-50</v>
      </c>
      <c r="O181" t="str">
        <f>IF(AND(Table1[[#This Row],[Smoker]]="Yes",Table1[[#This Row],[Diabetic]]="Yes"),"Yes","No")</f>
        <v>Yes</v>
      </c>
      <c r="P181" t="str">
        <f>IF(OR(Table1[[#This Row],[Smoker]]="Yes",Table1[[#This Row],[Diabetic]]="Yes"),"Yes","No")</f>
        <v>Yes</v>
      </c>
      <c r="Q181" s="1" t="str">
        <f>IF(OR(Table1[[#This Row],[Systolic]]&gt;125,Table1[[#This Row],[Diastolic]]&gt;90),"High","Normal")</f>
        <v>High</v>
      </c>
      <c r="R181" s="1">
        <f>Table1[[#This Row],[Discharge_Date]]-Table1[[#This Row],[Admission_Date]]</f>
        <v>4</v>
      </c>
      <c r="S181" s="1"/>
    </row>
    <row r="182" spans="1:19" x14ac:dyDescent="0.3">
      <c r="A182" t="s">
        <v>203</v>
      </c>
      <c r="B182">
        <v>39</v>
      </c>
      <c r="C182" t="s">
        <v>18</v>
      </c>
      <c r="D182">
        <v>28</v>
      </c>
      <c r="E182">
        <v>132</v>
      </c>
      <c r="F182">
        <v>90</v>
      </c>
      <c r="G182" t="s">
        <v>13</v>
      </c>
      <c r="H182" t="s">
        <v>13</v>
      </c>
      <c r="I182" t="s">
        <v>21</v>
      </c>
      <c r="J182" s="2">
        <v>1674.86</v>
      </c>
      <c r="K182" s="3">
        <v>45597</v>
      </c>
      <c r="L182" s="3">
        <v>45606</v>
      </c>
      <c r="M182" t="s">
        <v>19</v>
      </c>
      <c r="N182" t="str">
        <f>IF(Table1[[#This Row],[Age]]&lt;25,"&lt; 25",IF(Table1[[#This Row],[Age]]&lt;36,"25-35",IF(Table1[[#This Row],[Age]]&lt;51,"36-50",IF(Table1[[#This Row],[Age]]&lt;66,"51-65",IF(Table1[[#This Row],[Age]]&gt;65,"&gt;65","none")))))</f>
        <v>36-50</v>
      </c>
      <c r="O182" t="str">
        <f>IF(AND(Table1[[#This Row],[Smoker]]="Yes",Table1[[#This Row],[Diabetic]]="Yes"),"Yes","No")</f>
        <v>No</v>
      </c>
      <c r="P182" t="str">
        <f>IF(OR(Table1[[#This Row],[Smoker]]="Yes",Table1[[#This Row],[Diabetic]]="Yes"),"Yes","No")</f>
        <v>No</v>
      </c>
      <c r="Q182" s="1" t="str">
        <f>IF(OR(Table1[[#This Row],[Systolic]]&gt;125,Table1[[#This Row],[Diastolic]]&gt;90),"High","Normal")</f>
        <v>High</v>
      </c>
      <c r="R182" s="1">
        <f>Table1[[#This Row],[Discharge_Date]]-Table1[[#This Row],[Admission_Date]]</f>
        <v>9</v>
      </c>
      <c r="S182" s="1"/>
    </row>
    <row r="183" spans="1:19" x14ac:dyDescent="0.3">
      <c r="A183" t="s">
        <v>204</v>
      </c>
      <c r="B183">
        <v>39</v>
      </c>
      <c r="C183" t="s">
        <v>18</v>
      </c>
      <c r="D183">
        <v>23.3</v>
      </c>
      <c r="E183">
        <v>104</v>
      </c>
      <c r="F183">
        <v>107</v>
      </c>
      <c r="G183" t="s">
        <v>13</v>
      </c>
      <c r="H183" t="s">
        <v>13</v>
      </c>
      <c r="I183" t="s">
        <v>25</v>
      </c>
      <c r="J183" s="2">
        <v>1103.5</v>
      </c>
      <c r="K183" s="3">
        <v>45879</v>
      </c>
      <c r="L183" s="3">
        <v>45891</v>
      </c>
      <c r="M183" t="s">
        <v>19</v>
      </c>
      <c r="N183" t="str">
        <f>IF(Table1[[#This Row],[Age]]&lt;25,"&lt; 25",IF(Table1[[#This Row],[Age]]&lt;36,"25-35",IF(Table1[[#This Row],[Age]]&lt;51,"36-50",IF(Table1[[#This Row],[Age]]&lt;66,"51-65",IF(Table1[[#This Row],[Age]]&gt;65,"&gt;65","none")))))</f>
        <v>36-50</v>
      </c>
      <c r="O183" t="str">
        <f>IF(AND(Table1[[#This Row],[Smoker]]="Yes",Table1[[#This Row],[Diabetic]]="Yes"),"Yes","No")</f>
        <v>No</v>
      </c>
      <c r="P183" t="str">
        <f>IF(OR(Table1[[#This Row],[Smoker]]="Yes",Table1[[#This Row],[Diabetic]]="Yes"),"Yes","No")</f>
        <v>No</v>
      </c>
      <c r="Q183" s="1" t="str">
        <f>IF(OR(Table1[[#This Row],[Systolic]]&gt;125,Table1[[#This Row],[Diastolic]]&gt;90),"High","Normal")</f>
        <v>High</v>
      </c>
      <c r="R183" s="1">
        <f>Table1[[#This Row],[Discharge_Date]]-Table1[[#This Row],[Admission_Date]]</f>
        <v>12</v>
      </c>
      <c r="S183" s="1"/>
    </row>
    <row r="184" spans="1:19" x14ac:dyDescent="0.3">
      <c r="A184" t="s">
        <v>205</v>
      </c>
      <c r="B184">
        <v>70</v>
      </c>
      <c r="C184" t="s">
        <v>12</v>
      </c>
      <c r="D184">
        <v>34.200000000000003</v>
      </c>
      <c r="E184">
        <v>142</v>
      </c>
      <c r="F184">
        <v>104</v>
      </c>
      <c r="G184" t="s">
        <v>14</v>
      </c>
      <c r="H184" t="s">
        <v>13</v>
      </c>
      <c r="I184" t="s">
        <v>21</v>
      </c>
      <c r="J184" s="2">
        <v>4127.17</v>
      </c>
      <c r="K184" s="3">
        <v>45931</v>
      </c>
      <c r="L184" s="3">
        <v>45941</v>
      </c>
      <c r="M184" t="s">
        <v>19</v>
      </c>
      <c r="N184" t="str">
        <f>IF(Table1[[#This Row],[Age]]&lt;25,"&lt; 25",IF(Table1[[#This Row],[Age]]&lt;36,"25-35",IF(Table1[[#This Row],[Age]]&lt;51,"36-50",IF(Table1[[#This Row],[Age]]&lt;66,"51-65",IF(Table1[[#This Row],[Age]]&gt;65,"&gt;65","none")))))</f>
        <v>&gt;65</v>
      </c>
      <c r="O184" t="str">
        <f>IF(AND(Table1[[#This Row],[Smoker]]="Yes",Table1[[#This Row],[Diabetic]]="Yes"),"Yes","No")</f>
        <v>No</v>
      </c>
      <c r="P184" t="str">
        <f>IF(OR(Table1[[#This Row],[Smoker]]="Yes",Table1[[#This Row],[Diabetic]]="Yes"),"Yes","No")</f>
        <v>Yes</v>
      </c>
      <c r="Q184" s="1" t="str">
        <f>IF(OR(Table1[[#This Row],[Systolic]]&gt;125,Table1[[#This Row],[Diastolic]]&gt;90),"High","Normal")</f>
        <v>High</v>
      </c>
      <c r="R184" s="1">
        <f>Table1[[#This Row],[Discharge_Date]]-Table1[[#This Row],[Admission_Date]]</f>
        <v>10</v>
      </c>
      <c r="S184" s="1"/>
    </row>
    <row r="185" spans="1:19" x14ac:dyDescent="0.3">
      <c r="A185" t="s">
        <v>206</v>
      </c>
      <c r="B185">
        <v>66</v>
      </c>
      <c r="C185" t="s">
        <v>18</v>
      </c>
      <c r="D185">
        <v>24.7</v>
      </c>
      <c r="E185">
        <v>97</v>
      </c>
      <c r="F185">
        <v>103</v>
      </c>
      <c r="G185" t="s">
        <v>14</v>
      </c>
      <c r="H185" t="s">
        <v>14</v>
      </c>
      <c r="I185" t="s">
        <v>15</v>
      </c>
      <c r="J185" s="2">
        <v>217.35</v>
      </c>
      <c r="K185" s="3">
        <v>45906</v>
      </c>
      <c r="L185" s="3">
        <v>45919</v>
      </c>
      <c r="M185" t="s">
        <v>16</v>
      </c>
      <c r="N185" t="str">
        <f>IF(Table1[[#This Row],[Age]]&lt;25,"&lt; 25",IF(Table1[[#This Row],[Age]]&lt;36,"25-35",IF(Table1[[#This Row],[Age]]&lt;51,"36-50",IF(Table1[[#This Row],[Age]]&lt;66,"51-65",IF(Table1[[#This Row],[Age]]&gt;65,"&gt;65","none")))))</f>
        <v>&gt;65</v>
      </c>
      <c r="O185" t="str">
        <f>IF(AND(Table1[[#This Row],[Smoker]]="Yes",Table1[[#This Row],[Diabetic]]="Yes"),"Yes","No")</f>
        <v>Yes</v>
      </c>
      <c r="P185" t="str">
        <f>IF(OR(Table1[[#This Row],[Smoker]]="Yes",Table1[[#This Row],[Diabetic]]="Yes"),"Yes","No")</f>
        <v>Yes</v>
      </c>
      <c r="Q185" s="1" t="str">
        <f>IF(OR(Table1[[#This Row],[Systolic]]&gt;125,Table1[[#This Row],[Diastolic]]&gt;90),"High","Normal")</f>
        <v>High</v>
      </c>
      <c r="R185" s="1">
        <f>Table1[[#This Row],[Discharge_Date]]-Table1[[#This Row],[Admission_Date]]</f>
        <v>13</v>
      </c>
      <c r="S185" s="1"/>
    </row>
    <row r="186" spans="1:19" x14ac:dyDescent="0.3">
      <c r="A186" t="s">
        <v>207</v>
      </c>
      <c r="B186">
        <v>40</v>
      </c>
      <c r="C186" t="s">
        <v>12</v>
      </c>
      <c r="D186">
        <v>36.700000000000003</v>
      </c>
      <c r="E186">
        <v>161</v>
      </c>
      <c r="F186">
        <v>105</v>
      </c>
      <c r="G186" t="s">
        <v>14</v>
      </c>
      <c r="H186" t="s">
        <v>14</v>
      </c>
      <c r="I186" t="s">
        <v>25</v>
      </c>
      <c r="J186" s="2">
        <v>3805.28</v>
      </c>
      <c r="K186" s="3">
        <v>45900</v>
      </c>
      <c r="L186" s="3">
        <v>45907</v>
      </c>
      <c r="M186" t="s">
        <v>16</v>
      </c>
      <c r="N186" t="str">
        <f>IF(Table1[[#This Row],[Age]]&lt;25,"&lt; 25",IF(Table1[[#This Row],[Age]]&lt;36,"25-35",IF(Table1[[#This Row],[Age]]&lt;51,"36-50",IF(Table1[[#This Row],[Age]]&lt;66,"51-65",IF(Table1[[#This Row],[Age]]&gt;65,"&gt;65","none")))))</f>
        <v>36-50</v>
      </c>
      <c r="O186" t="str">
        <f>IF(AND(Table1[[#This Row],[Smoker]]="Yes",Table1[[#This Row],[Diabetic]]="Yes"),"Yes","No")</f>
        <v>Yes</v>
      </c>
      <c r="P186" t="str">
        <f>IF(OR(Table1[[#This Row],[Smoker]]="Yes",Table1[[#This Row],[Diabetic]]="Yes"),"Yes","No")</f>
        <v>Yes</v>
      </c>
      <c r="Q186" s="1" t="str">
        <f>IF(OR(Table1[[#This Row],[Systolic]]&gt;125,Table1[[#This Row],[Diastolic]]&gt;90),"High","Normal")</f>
        <v>High</v>
      </c>
      <c r="R186" s="1">
        <f>Table1[[#This Row],[Discharge_Date]]-Table1[[#This Row],[Admission_Date]]</f>
        <v>7</v>
      </c>
      <c r="S186" s="1"/>
    </row>
    <row r="187" spans="1:19" x14ac:dyDescent="0.3">
      <c r="A187" t="s">
        <v>208</v>
      </c>
      <c r="B187">
        <v>62</v>
      </c>
      <c r="C187" t="s">
        <v>12</v>
      </c>
      <c r="D187">
        <v>33.1</v>
      </c>
      <c r="E187">
        <v>166</v>
      </c>
      <c r="F187">
        <v>82</v>
      </c>
      <c r="G187" t="s">
        <v>14</v>
      </c>
      <c r="H187" t="s">
        <v>14</v>
      </c>
      <c r="I187" t="s">
        <v>15</v>
      </c>
      <c r="J187" s="2">
        <v>2179.35</v>
      </c>
      <c r="K187" s="3">
        <v>45656</v>
      </c>
      <c r="L187" s="3">
        <v>45667</v>
      </c>
      <c r="M187" t="s">
        <v>19</v>
      </c>
      <c r="N187" t="str">
        <f>IF(Table1[[#This Row],[Age]]&lt;25,"&lt; 25",IF(Table1[[#This Row],[Age]]&lt;36,"25-35",IF(Table1[[#This Row],[Age]]&lt;51,"36-50",IF(Table1[[#This Row],[Age]]&lt;66,"51-65",IF(Table1[[#This Row],[Age]]&gt;65,"&gt;65","none")))))</f>
        <v>51-65</v>
      </c>
      <c r="O187" t="str">
        <f>IF(AND(Table1[[#This Row],[Smoker]]="Yes",Table1[[#This Row],[Diabetic]]="Yes"),"Yes","No")</f>
        <v>Yes</v>
      </c>
      <c r="P187" t="str">
        <f>IF(OR(Table1[[#This Row],[Smoker]]="Yes",Table1[[#This Row],[Diabetic]]="Yes"),"Yes","No")</f>
        <v>Yes</v>
      </c>
      <c r="Q187" s="1" t="str">
        <f>IF(OR(Table1[[#This Row],[Systolic]]&gt;125,Table1[[#This Row],[Diastolic]]&gt;90),"High","Normal")</f>
        <v>High</v>
      </c>
      <c r="R187" s="1">
        <f>Table1[[#This Row],[Discharge_Date]]-Table1[[#This Row],[Admission_Date]]</f>
        <v>11</v>
      </c>
      <c r="S187" s="1"/>
    </row>
    <row r="188" spans="1:19" x14ac:dyDescent="0.3">
      <c r="A188" t="s">
        <v>209</v>
      </c>
      <c r="B188">
        <v>44</v>
      </c>
      <c r="C188" t="s">
        <v>18</v>
      </c>
      <c r="D188">
        <v>39.6</v>
      </c>
      <c r="E188">
        <v>171</v>
      </c>
      <c r="F188">
        <v>92</v>
      </c>
      <c r="G188" t="s">
        <v>13</v>
      </c>
      <c r="H188" t="s">
        <v>14</v>
      </c>
      <c r="I188" t="s">
        <v>15</v>
      </c>
      <c r="J188" s="2">
        <v>2511.9299999999998</v>
      </c>
      <c r="K188" s="3">
        <v>45659</v>
      </c>
      <c r="L188" s="3">
        <v>45663</v>
      </c>
      <c r="M188" t="s">
        <v>16</v>
      </c>
      <c r="N188" t="str">
        <f>IF(Table1[[#This Row],[Age]]&lt;25,"&lt; 25",IF(Table1[[#This Row],[Age]]&lt;36,"25-35",IF(Table1[[#This Row],[Age]]&lt;51,"36-50",IF(Table1[[#This Row],[Age]]&lt;66,"51-65",IF(Table1[[#This Row],[Age]]&gt;65,"&gt;65","none")))))</f>
        <v>36-50</v>
      </c>
      <c r="O188" t="str">
        <f>IF(AND(Table1[[#This Row],[Smoker]]="Yes",Table1[[#This Row],[Diabetic]]="Yes"),"Yes","No")</f>
        <v>No</v>
      </c>
      <c r="P188" t="str">
        <f>IF(OR(Table1[[#This Row],[Smoker]]="Yes",Table1[[#This Row],[Diabetic]]="Yes"),"Yes","No")</f>
        <v>Yes</v>
      </c>
      <c r="Q188" s="1" t="str">
        <f>IF(OR(Table1[[#This Row],[Systolic]]&gt;125,Table1[[#This Row],[Diastolic]]&gt;90),"High","Normal")</f>
        <v>High</v>
      </c>
      <c r="R188" s="1">
        <f>Table1[[#This Row],[Discharge_Date]]-Table1[[#This Row],[Admission_Date]]</f>
        <v>4</v>
      </c>
      <c r="S188" s="1"/>
    </row>
    <row r="189" spans="1:19" x14ac:dyDescent="0.3">
      <c r="A189" t="s">
        <v>210</v>
      </c>
      <c r="B189">
        <v>41</v>
      </c>
      <c r="C189" t="s">
        <v>18</v>
      </c>
      <c r="D189">
        <v>31.6</v>
      </c>
      <c r="E189">
        <v>141</v>
      </c>
      <c r="F189">
        <v>74</v>
      </c>
      <c r="G189" t="s">
        <v>14</v>
      </c>
      <c r="H189" t="s">
        <v>14</v>
      </c>
      <c r="I189" t="s">
        <v>34</v>
      </c>
      <c r="J189" s="2">
        <v>562.74</v>
      </c>
      <c r="K189" s="3">
        <v>45755</v>
      </c>
      <c r="L189" s="3">
        <v>45757</v>
      </c>
      <c r="M189" t="s">
        <v>19</v>
      </c>
      <c r="N189" t="str">
        <f>IF(Table1[[#This Row],[Age]]&lt;25,"&lt; 25",IF(Table1[[#This Row],[Age]]&lt;36,"25-35",IF(Table1[[#This Row],[Age]]&lt;51,"36-50",IF(Table1[[#This Row],[Age]]&lt;66,"51-65",IF(Table1[[#This Row],[Age]]&gt;65,"&gt;65","none")))))</f>
        <v>36-50</v>
      </c>
      <c r="O189" t="str">
        <f>IF(AND(Table1[[#This Row],[Smoker]]="Yes",Table1[[#This Row],[Diabetic]]="Yes"),"Yes","No")</f>
        <v>Yes</v>
      </c>
      <c r="P189" t="str">
        <f>IF(OR(Table1[[#This Row],[Smoker]]="Yes",Table1[[#This Row],[Diabetic]]="Yes"),"Yes","No")</f>
        <v>Yes</v>
      </c>
      <c r="Q189" s="1" t="str">
        <f>IF(OR(Table1[[#This Row],[Systolic]]&gt;125,Table1[[#This Row],[Diastolic]]&gt;90),"High","Normal")</f>
        <v>High</v>
      </c>
      <c r="R189" s="1">
        <f>Table1[[#This Row],[Discharge_Date]]-Table1[[#This Row],[Admission_Date]]</f>
        <v>2</v>
      </c>
      <c r="S189" s="1"/>
    </row>
    <row r="190" spans="1:19" x14ac:dyDescent="0.3">
      <c r="A190" t="s">
        <v>211</v>
      </c>
      <c r="B190">
        <v>38</v>
      </c>
      <c r="C190" t="s">
        <v>18</v>
      </c>
      <c r="D190">
        <v>30.6</v>
      </c>
      <c r="E190">
        <v>102</v>
      </c>
      <c r="F190">
        <v>86</v>
      </c>
      <c r="G190" t="s">
        <v>13</v>
      </c>
      <c r="H190" t="s">
        <v>13</v>
      </c>
      <c r="I190" t="s">
        <v>21</v>
      </c>
      <c r="J190" s="2">
        <v>569.54999999999995</v>
      </c>
      <c r="K190" s="3">
        <v>45859</v>
      </c>
      <c r="L190" s="3">
        <v>45868</v>
      </c>
      <c r="M190" t="s">
        <v>23</v>
      </c>
      <c r="N190" t="str">
        <f>IF(Table1[[#This Row],[Age]]&lt;25,"&lt; 25",IF(Table1[[#This Row],[Age]]&lt;36,"25-35",IF(Table1[[#This Row],[Age]]&lt;51,"36-50",IF(Table1[[#This Row],[Age]]&lt;66,"51-65",IF(Table1[[#This Row],[Age]]&gt;65,"&gt;65","none")))))</f>
        <v>36-50</v>
      </c>
      <c r="O190" t="str">
        <f>IF(AND(Table1[[#This Row],[Smoker]]="Yes",Table1[[#This Row],[Diabetic]]="Yes"),"Yes","No")</f>
        <v>No</v>
      </c>
      <c r="P190" t="str">
        <f>IF(OR(Table1[[#This Row],[Smoker]]="Yes",Table1[[#This Row],[Diabetic]]="Yes"),"Yes","No")</f>
        <v>No</v>
      </c>
      <c r="Q190" s="1" t="str">
        <f>IF(OR(Table1[[#This Row],[Systolic]]&gt;125,Table1[[#This Row],[Diastolic]]&gt;90),"High","Normal")</f>
        <v>Normal</v>
      </c>
      <c r="R190" s="1">
        <f>Table1[[#This Row],[Discharge_Date]]-Table1[[#This Row],[Admission_Date]]</f>
        <v>9</v>
      </c>
      <c r="S190" s="1"/>
    </row>
    <row r="191" spans="1:19" x14ac:dyDescent="0.3">
      <c r="A191" t="s">
        <v>212</v>
      </c>
      <c r="B191">
        <v>65</v>
      </c>
      <c r="C191" t="s">
        <v>18</v>
      </c>
      <c r="D191">
        <v>32.799999999999997</v>
      </c>
      <c r="E191">
        <v>154</v>
      </c>
      <c r="F191">
        <v>73</v>
      </c>
      <c r="G191" t="s">
        <v>13</v>
      </c>
      <c r="H191" t="s">
        <v>14</v>
      </c>
      <c r="I191" t="s">
        <v>32</v>
      </c>
      <c r="J191" s="2">
        <v>3740.1</v>
      </c>
      <c r="K191" s="3">
        <v>45665</v>
      </c>
      <c r="L191" s="3">
        <v>45670</v>
      </c>
      <c r="M191" t="s">
        <v>23</v>
      </c>
      <c r="N191" t="str">
        <f>IF(Table1[[#This Row],[Age]]&lt;25,"&lt; 25",IF(Table1[[#This Row],[Age]]&lt;36,"25-35",IF(Table1[[#This Row],[Age]]&lt;51,"36-50",IF(Table1[[#This Row],[Age]]&lt;66,"51-65",IF(Table1[[#This Row],[Age]]&gt;65,"&gt;65","none")))))</f>
        <v>51-65</v>
      </c>
      <c r="O191" t="str">
        <f>IF(AND(Table1[[#This Row],[Smoker]]="Yes",Table1[[#This Row],[Diabetic]]="Yes"),"Yes","No")</f>
        <v>No</v>
      </c>
      <c r="P191" t="str">
        <f>IF(OR(Table1[[#This Row],[Smoker]]="Yes",Table1[[#This Row],[Diabetic]]="Yes"),"Yes","No")</f>
        <v>Yes</v>
      </c>
      <c r="Q191" s="1" t="str">
        <f>IF(OR(Table1[[#This Row],[Systolic]]&gt;125,Table1[[#This Row],[Diastolic]]&gt;90),"High","Normal")</f>
        <v>High</v>
      </c>
      <c r="R191" s="1">
        <f>Table1[[#This Row],[Discharge_Date]]-Table1[[#This Row],[Admission_Date]]</f>
        <v>5</v>
      </c>
      <c r="S191" s="1"/>
    </row>
    <row r="192" spans="1:19" x14ac:dyDescent="0.3">
      <c r="A192" t="s">
        <v>213</v>
      </c>
      <c r="B192">
        <v>67</v>
      </c>
      <c r="C192" t="s">
        <v>12</v>
      </c>
      <c r="D192">
        <v>23.3</v>
      </c>
      <c r="E192">
        <v>112</v>
      </c>
      <c r="F192">
        <v>69</v>
      </c>
      <c r="G192" t="s">
        <v>13</v>
      </c>
      <c r="H192" t="s">
        <v>13</v>
      </c>
      <c r="I192" t="s">
        <v>21</v>
      </c>
      <c r="J192" s="2">
        <v>3592.56</v>
      </c>
      <c r="K192" s="3">
        <v>45854</v>
      </c>
      <c r="L192" s="3">
        <v>45861</v>
      </c>
      <c r="M192" t="s">
        <v>23</v>
      </c>
      <c r="N192" t="str">
        <f>IF(Table1[[#This Row],[Age]]&lt;25,"&lt; 25",IF(Table1[[#This Row],[Age]]&lt;36,"25-35",IF(Table1[[#This Row],[Age]]&lt;51,"36-50",IF(Table1[[#This Row],[Age]]&lt;66,"51-65",IF(Table1[[#This Row],[Age]]&gt;65,"&gt;65","none")))))</f>
        <v>&gt;65</v>
      </c>
      <c r="O192" t="str">
        <f>IF(AND(Table1[[#This Row],[Smoker]]="Yes",Table1[[#This Row],[Diabetic]]="Yes"),"Yes","No")</f>
        <v>No</v>
      </c>
      <c r="P192" t="str">
        <f>IF(OR(Table1[[#This Row],[Smoker]]="Yes",Table1[[#This Row],[Diabetic]]="Yes"),"Yes","No")</f>
        <v>No</v>
      </c>
      <c r="Q192" s="1" t="str">
        <f>IF(OR(Table1[[#This Row],[Systolic]]&gt;125,Table1[[#This Row],[Diastolic]]&gt;90),"High","Normal")</f>
        <v>Normal</v>
      </c>
      <c r="R192" s="1">
        <f>Table1[[#This Row],[Discharge_Date]]-Table1[[#This Row],[Admission_Date]]</f>
        <v>7</v>
      </c>
      <c r="S192" s="1"/>
    </row>
    <row r="193" spans="1:19" x14ac:dyDescent="0.3">
      <c r="A193" t="s">
        <v>214</v>
      </c>
      <c r="B193">
        <v>19</v>
      </c>
      <c r="C193" t="s">
        <v>18</v>
      </c>
      <c r="D193">
        <v>27.7</v>
      </c>
      <c r="E193">
        <v>148</v>
      </c>
      <c r="F193">
        <v>82</v>
      </c>
      <c r="G193" t="s">
        <v>14</v>
      </c>
      <c r="H193" t="s">
        <v>14</v>
      </c>
      <c r="I193" t="s">
        <v>15</v>
      </c>
      <c r="J193" s="2">
        <v>4729.72</v>
      </c>
      <c r="K193" s="3">
        <v>45755</v>
      </c>
      <c r="L193" s="3">
        <v>45768</v>
      </c>
      <c r="M193" t="s">
        <v>16</v>
      </c>
      <c r="N193" t="str">
        <f>IF(Table1[[#This Row],[Age]]&lt;25,"&lt; 25",IF(Table1[[#This Row],[Age]]&lt;36,"25-35",IF(Table1[[#This Row],[Age]]&lt;51,"36-50",IF(Table1[[#This Row],[Age]]&lt;66,"51-65",IF(Table1[[#This Row],[Age]]&gt;65,"&gt;65","none")))))</f>
        <v>&lt; 25</v>
      </c>
      <c r="O193" t="str">
        <f>IF(AND(Table1[[#This Row],[Smoker]]="Yes",Table1[[#This Row],[Diabetic]]="Yes"),"Yes","No")</f>
        <v>Yes</v>
      </c>
      <c r="P193" t="str">
        <f>IF(OR(Table1[[#This Row],[Smoker]]="Yes",Table1[[#This Row],[Diabetic]]="Yes"),"Yes","No")</f>
        <v>Yes</v>
      </c>
      <c r="Q193" s="1" t="str">
        <f>IF(OR(Table1[[#This Row],[Systolic]]&gt;125,Table1[[#This Row],[Diastolic]]&gt;90),"High","Normal")</f>
        <v>High</v>
      </c>
      <c r="R193" s="1">
        <f>Table1[[#This Row],[Discharge_Date]]-Table1[[#This Row],[Admission_Date]]</f>
        <v>13</v>
      </c>
      <c r="S193" s="1"/>
    </row>
    <row r="194" spans="1:19" x14ac:dyDescent="0.3">
      <c r="A194" t="s">
        <v>215</v>
      </c>
      <c r="B194">
        <v>27</v>
      </c>
      <c r="C194" t="s">
        <v>12</v>
      </c>
      <c r="D194">
        <v>36.5</v>
      </c>
      <c r="E194">
        <v>164</v>
      </c>
      <c r="F194">
        <v>97</v>
      </c>
      <c r="G194" t="s">
        <v>14</v>
      </c>
      <c r="H194" t="s">
        <v>14</v>
      </c>
      <c r="I194" t="s">
        <v>15</v>
      </c>
      <c r="J194" s="2">
        <v>1520.25</v>
      </c>
      <c r="K194" s="3">
        <v>45773</v>
      </c>
      <c r="L194" s="3">
        <v>45783</v>
      </c>
      <c r="M194" t="s">
        <v>16</v>
      </c>
      <c r="N194" t="str">
        <f>IF(Table1[[#This Row],[Age]]&lt;25,"&lt; 25",IF(Table1[[#This Row],[Age]]&lt;36,"25-35",IF(Table1[[#This Row],[Age]]&lt;51,"36-50",IF(Table1[[#This Row],[Age]]&lt;66,"51-65",IF(Table1[[#This Row],[Age]]&gt;65,"&gt;65","none")))))</f>
        <v>25-35</v>
      </c>
      <c r="O194" t="str">
        <f>IF(AND(Table1[[#This Row],[Smoker]]="Yes",Table1[[#This Row],[Diabetic]]="Yes"),"Yes","No")</f>
        <v>Yes</v>
      </c>
      <c r="P194" t="str">
        <f>IF(OR(Table1[[#This Row],[Smoker]]="Yes",Table1[[#This Row],[Diabetic]]="Yes"),"Yes","No")</f>
        <v>Yes</v>
      </c>
      <c r="Q194" s="1" t="str">
        <f>IF(OR(Table1[[#This Row],[Systolic]]&gt;125,Table1[[#This Row],[Diastolic]]&gt;90),"High","Normal")</f>
        <v>High</v>
      </c>
      <c r="R194" s="1">
        <f>Table1[[#This Row],[Discharge_Date]]-Table1[[#This Row],[Admission_Date]]</f>
        <v>10</v>
      </c>
      <c r="S194" s="1"/>
    </row>
    <row r="195" spans="1:19" x14ac:dyDescent="0.3">
      <c r="A195" t="s">
        <v>216</v>
      </c>
      <c r="B195">
        <v>32</v>
      </c>
      <c r="C195" t="s">
        <v>18</v>
      </c>
      <c r="D195">
        <v>36.200000000000003</v>
      </c>
      <c r="E195">
        <v>145</v>
      </c>
      <c r="F195">
        <v>79</v>
      </c>
      <c r="G195" t="s">
        <v>13</v>
      </c>
      <c r="H195" t="s">
        <v>14</v>
      </c>
      <c r="I195" t="s">
        <v>25</v>
      </c>
      <c r="J195" s="2">
        <v>4928.3999999999996</v>
      </c>
      <c r="K195" s="3">
        <v>45753</v>
      </c>
      <c r="L195" s="3">
        <v>45755</v>
      </c>
      <c r="M195" t="s">
        <v>23</v>
      </c>
      <c r="N195" t="str">
        <f>IF(Table1[[#This Row],[Age]]&lt;25,"&lt; 25",IF(Table1[[#This Row],[Age]]&lt;36,"25-35",IF(Table1[[#This Row],[Age]]&lt;51,"36-50",IF(Table1[[#This Row],[Age]]&lt;66,"51-65",IF(Table1[[#This Row],[Age]]&gt;65,"&gt;65","none")))))</f>
        <v>25-35</v>
      </c>
      <c r="O195" t="str">
        <f>IF(AND(Table1[[#This Row],[Smoker]]="Yes",Table1[[#This Row],[Diabetic]]="Yes"),"Yes","No")</f>
        <v>No</v>
      </c>
      <c r="P195" t="str">
        <f>IF(OR(Table1[[#This Row],[Smoker]]="Yes",Table1[[#This Row],[Diabetic]]="Yes"),"Yes","No")</f>
        <v>Yes</v>
      </c>
      <c r="Q195" s="1" t="str">
        <f>IF(OR(Table1[[#This Row],[Systolic]]&gt;125,Table1[[#This Row],[Diastolic]]&gt;90),"High","Normal")</f>
        <v>High</v>
      </c>
      <c r="R195" s="1">
        <f>Table1[[#This Row],[Discharge_Date]]-Table1[[#This Row],[Admission_Date]]</f>
        <v>2</v>
      </c>
      <c r="S195" s="1"/>
    </row>
    <row r="196" spans="1:19" x14ac:dyDescent="0.3">
      <c r="A196" t="s">
        <v>217</v>
      </c>
      <c r="B196">
        <v>59</v>
      </c>
      <c r="C196" t="s">
        <v>12</v>
      </c>
      <c r="D196">
        <v>39</v>
      </c>
      <c r="E196">
        <v>139</v>
      </c>
      <c r="F196">
        <v>77</v>
      </c>
      <c r="G196" t="s">
        <v>13</v>
      </c>
      <c r="H196" t="s">
        <v>14</v>
      </c>
      <c r="I196" t="s">
        <v>15</v>
      </c>
      <c r="J196" s="2">
        <v>1245.29</v>
      </c>
      <c r="K196" s="3">
        <v>45883</v>
      </c>
      <c r="L196" s="3">
        <v>45896</v>
      </c>
      <c r="M196" t="s">
        <v>19</v>
      </c>
      <c r="N196" t="str">
        <f>IF(Table1[[#This Row],[Age]]&lt;25,"&lt; 25",IF(Table1[[#This Row],[Age]]&lt;36,"25-35",IF(Table1[[#This Row],[Age]]&lt;51,"36-50",IF(Table1[[#This Row],[Age]]&lt;66,"51-65",IF(Table1[[#This Row],[Age]]&gt;65,"&gt;65","none")))))</f>
        <v>51-65</v>
      </c>
      <c r="O196" t="str">
        <f>IF(AND(Table1[[#This Row],[Smoker]]="Yes",Table1[[#This Row],[Diabetic]]="Yes"),"Yes","No")</f>
        <v>No</v>
      </c>
      <c r="P196" t="str">
        <f>IF(OR(Table1[[#This Row],[Smoker]]="Yes",Table1[[#This Row],[Diabetic]]="Yes"),"Yes","No")</f>
        <v>Yes</v>
      </c>
      <c r="Q196" s="1" t="str">
        <f>IF(OR(Table1[[#This Row],[Systolic]]&gt;125,Table1[[#This Row],[Diastolic]]&gt;90),"High","Normal")</f>
        <v>High</v>
      </c>
      <c r="R196" s="1">
        <f>Table1[[#This Row],[Discharge_Date]]-Table1[[#This Row],[Admission_Date]]</f>
        <v>13</v>
      </c>
      <c r="S196" s="1"/>
    </row>
    <row r="197" spans="1:19" x14ac:dyDescent="0.3">
      <c r="A197" t="s">
        <v>218</v>
      </c>
      <c r="B197">
        <v>65</v>
      </c>
      <c r="C197" t="s">
        <v>18</v>
      </c>
      <c r="D197">
        <v>22.3</v>
      </c>
      <c r="E197">
        <v>118</v>
      </c>
      <c r="F197">
        <v>90</v>
      </c>
      <c r="G197" t="s">
        <v>13</v>
      </c>
      <c r="H197" t="s">
        <v>13</v>
      </c>
      <c r="I197" t="s">
        <v>34</v>
      </c>
      <c r="J197" s="2">
        <v>2556.1</v>
      </c>
      <c r="K197" s="3">
        <v>45813</v>
      </c>
      <c r="L197" s="3">
        <v>45823</v>
      </c>
      <c r="M197" t="s">
        <v>16</v>
      </c>
      <c r="N197" t="str">
        <f>IF(Table1[[#This Row],[Age]]&lt;25,"&lt; 25",IF(Table1[[#This Row],[Age]]&lt;36,"25-35",IF(Table1[[#This Row],[Age]]&lt;51,"36-50",IF(Table1[[#This Row],[Age]]&lt;66,"51-65",IF(Table1[[#This Row],[Age]]&gt;65,"&gt;65","none")))))</f>
        <v>51-65</v>
      </c>
      <c r="O197" t="str">
        <f>IF(AND(Table1[[#This Row],[Smoker]]="Yes",Table1[[#This Row],[Diabetic]]="Yes"),"Yes","No")</f>
        <v>No</v>
      </c>
      <c r="P197" t="str">
        <f>IF(OR(Table1[[#This Row],[Smoker]]="Yes",Table1[[#This Row],[Diabetic]]="Yes"),"Yes","No")</f>
        <v>No</v>
      </c>
      <c r="Q197" s="1" t="str">
        <f>IF(OR(Table1[[#This Row],[Systolic]]&gt;125,Table1[[#This Row],[Diastolic]]&gt;90),"High","Normal")</f>
        <v>Normal</v>
      </c>
      <c r="R197" s="1">
        <f>Table1[[#This Row],[Discharge_Date]]-Table1[[#This Row],[Admission_Date]]</f>
        <v>10</v>
      </c>
      <c r="S197" s="1"/>
    </row>
    <row r="198" spans="1:19" x14ac:dyDescent="0.3">
      <c r="A198" t="s">
        <v>219</v>
      </c>
      <c r="B198">
        <v>40</v>
      </c>
      <c r="C198" t="s">
        <v>18</v>
      </c>
      <c r="D198">
        <v>34.1</v>
      </c>
      <c r="E198">
        <v>167</v>
      </c>
      <c r="F198">
        <v>114</v>
      </c>
      <c r="G198" t="s">
        <v>14</v>
      </c>
      <c r="H198" t="s">
        <v>14</v>
      </c>
      <c r="I198" t="s">
        <v>15</v>
      </c>
      <c r="J198" s="2">
        <v>2599.08</v>
      </c>
      <c r="K198" s="3">
        <v>45787</v>
      </c>
      <c r="L198" s="3">
        <v>45796</v>
      </c>
      <c r="M198" t="s">
        <v>19</v>
      </c>
      <c r="N198" t="str">
        <f>IF(Table1[[#This Row],[Age]]&lt;25,"&lt; 25",IF(Table1[[#This Row],[Age]]&lt;36,"25-35",IF(Table1[[#This Row],[Age]]&lt;51,"36-50",IF(Table1[[#This Row],[Age]]&lt;66,"51-65",IF(Table1[[#This Row],[Age]]&gt;65,"&gt;65","none")))))</f>
        <v>36-50</v>
      </c>
      <c r="O198" t="str">
        <f>IF(AND(Table1[[#This Row],[Smoker]]="Yes",Table1[[#This Row],[Diabetic]]="Yes"),"Yes","No")</f>
        <v>Yes</v>
      </c>
      <c r="P198" t="str">
        <f>IF(OR(Table1[[#This Row],[Smoker]]="Yes",Table1[[#This Row],[Diabetic]]="Yes"),"Yes","No")</f>
        <v>Yes</v>
      </c>
      <c r="Q198" s="1" t="str">
        <f>IF(OR(Table1[[#This Row],[Systolic]]&gt;125,Table1[[#This Row],[Diastolic]]&gt;90),"High","Normal")</f>
        <v>High</v>
      </c>
      <c r="R198" s="1">
        <f>Table1[[#This Row],[Discharge_Date]]-Table1[[#This Row],[Admission_Date]]</f>
        <v>9</v>
      </c>
      <c r="S198" s="1"/>
    </row>
    <row r="199" spans="1:19" x14ac:dyDescent="0.3">
      <c r="A199" t="s">
        <v>220</v>
      </c>
      <c r="B199">
        <v>30</v>
      </c>
      <c r="C199" t="s">
        <v>18</v>
      </c>
      <c r="D199">
        <v>39.4</v>
      </c>
      <c r="E199">
        <v>140</v>
      </c>
      <c r="F199">
        <v>120</v>
      </c>
      <c r="G199" t="s">
        <v>14</v>
      </c>
      <c r="H199" t="s">
        <v>14</v>
      </c>
      <c r="I199" t="s">
        <v>32</v>
      </c>
      <c r="J199" s="2">
        <v>2259.11</v>
      </c>
      <c r="K199" s="3">
        <v>45641</v>
      </c>
      <c r="L199" s="3">
        <v>45647</v>
      </c>
      <c r="M199" t="s">
        <v>23</v>
      </c>
      <c r="N199" t="str">
        <f>IF(Table1[[#This Row],[Age]]&lt;25,"&lt; 25",IF(Table1[[#This Row],[Age]]&lt;36,"25-35",IF(Table1[[#This Row],[Age]]&lt;51,"36-50",IF(Table1[[#This Row],[Age]]&lt;66,"51-65",IF(Table1[[#This Row],[Age]]&gt;65,"&gt;65","none")))))</f>
        <v>25-35</v>
      </c>
      <c r="O199" t="str">
        <f>IF(AND(Table1[[#This Row],[Smoker]]="Yes",Table1[[#This Row],[Diabetic]]="Yes"),"Yes","No")</f>
        <v>Yes</v>
      </c>
      <c r="P199" t="str">
        <f>IF(OR(Table1[[#This Row],[Smoker]]="Yes",Table1[[#This Row],[Diabetic]]="Yes"),"Yes","No")</f>
        <v>Yes</v>
      </c>
      <c r="Q199" s="1" t="str">
        <f>IF(OR(Table1[[#This Row],[Systolic]]&gt;125,Table1[[#This Row],[Diastolic]]&gt;90),"High","Normal")</f>
        <v>High</v>
      </c>
      <c r="R199" s="1">
        <f>Table1[[#This Row],[Discharge_Date]]-Table1[[#This Row],[Admission_Date]]</f>
        <v>6</v>
      </c>
      <c r="S199" s="1"/>
    </row>
    <row r="200" spans="1:19" x14ac:dyDescent="0.3">
      <c r="A200" t="s">
        <v>221</v>
      </c>
      <c r="B200">
        <v>65</v>
      </c>
      <c r="C200" t="s">
        <v>12</v>
      </c>
      <c r="D200">
        <v>33</v>
      </c>
      <c r="E200">
        <v>108</v>
      </c>
      <c r="F200">
        <v>88</v>
      </c>
      <c r="G200" t="s">
        <v>14</v>
      </c>
      <c r="H200" t="s">
        <v>14</v>
      </c>
      <c r="I200" t="s">
        <v>21</v>
      </c>
      <c r="J200" s="2">
        <v>1895.61</v>
      </c>
      <c r="K200" s="3">
        <v>45609</v>
      </c>
      <c r="L200" s="3">
        <v>45614</v>
      </c>
      <c r="M200" t="s">
        <v>16</v>
      </c>
      <c r="N200" t="str">
        <f>IF(Table1[[#This Row],[Age]]&lt;25,"&lt; 25",IF(Table1[[#This Row],[Age]]&lt;36,"25-35",IF(Table1[[#This Row],[Age]]&lt;51,"36-50",IF(Table1[[#This Row],[Age]]&lt;66,"51-65",IF(Table1[[#This Row],[Age]]&gt;65,"&gt;65","none")))))</f>
        <v>51-65</v>
      </c>
      <c r="O200" t="str">
        <f>IF(AND(Table1[[#This Row],[Smoker]]="Yes",Table1[[#This Row],[Diabetic]]="Yes"),"Yes","No")</f>
        <v>Yes</v>
      </c>
      <c r="P200" t="str">
        <f>IF(OR(Table1[[#This Row],[Smoker]]="Yes",Table1[[#This Row],[Diabetic]]="Yes"),"Yes","No")</f>
        <v>Yes</v>
      </c>
      <c r="Q200" s="1" t="str">
        <f>IF(OR(Table1[[#This Row],[Systolic]]&gt;125,Table1[[#This Row],[Diastolic]]&gt;90),"High","Normal")</f>
        <v>Normal</v>
      </c>
      <c r="R200" s="1">
        <f>Table1[[#This Row],[Discharge_Date]]-Table1[[#This Row],[Admission_Date]]</f>
        <v>5</v>
      </c>
      <c r="S200" s="1"/>
    </row>
    <row r="201" spans="1:19" x14ac:dyDescent="0.3">
      <c r="A201" t="s">
        <v>222</v>
      </c>
      <c r="B201">
        <v>70</v>
      </c>
      <c r="C201" t="s">
        <v>12</v>
      </c>
      <c r="D201">
        <v>25.2</v>
      </c>
      <c r="E201">
        <v>146</v>
      </c>
      <c r="F201">
        <v>80</v>
      </c>
      <c r="G201" t="s">
        <v>14</v>
      </c>
      <c r="H201" t="s">
        <v>13</v>
      </c>
      <c r="I201" t="s">
        <v>25</v>
      </c>
      <c r="J201" s="2">
        <v>2858.53</v>
      </c>
      <c r="K201" s="3">
        <v>45927</v>
      </c>
      <c r="L201" s="3">
        <v>45938</v>
      </c>
      <c r="M201" t="s">
        <v>19</v>
      </c>
      <c r="N201" t="str">
        <f>IF(Table1[[#This Row],[Age]]&lt;25,"&lt; 25",IF(Table1[[#This Row],[Age]]&lt;36,"25-35",IF(Table1[[#This Row],[Age]]&lt;51,"36-50",IF(Table1[[#This Row],[Age]]&lt;66,"51-65",IF(Table1[[#This Row],[Age]]&gt;65,"&gt;65","none")))))</f>
        <v>&gt;65</v>
      </c>
      <c r="O201" t="str">
        <f>IF(AND(Table1[[#This Row],[Smoker]]="Yes",Table1[[#This Row],[Diabetic]]="Yes"),"Yes","No")</f>
        <v>No</v>
      </c>
      <c r="P201" t="str">
        <f>IF(OR(Table1[[#This Row],[Smoker]]="Yes",Table1[[#This Row],[Diabetic]]="Yes"),"Yes","No")</f>
        <v>Yes</v>
      </c>
      <c r="Q201" s="1" t="str">
        <f>IF(OR(Table1[[#This Row],[Systolic]]&gt;125,Table1[[#This Row],[Diastolic]]&gt;90),"High","Normal")</f>
        <v>High</v>
      </c>
      <c r="R201" s="1">
        <f>Table1[[#This Row],[Discharge_Date]]-Table1[[#This Row],[Admission_Date]]</f>
        <v>11</v>
      </c>
      <c r="S201" s="1"/>
    </row>
    <row r="202" spans="1:19" x14ac:dyDescent="0.3">
      <c r="A202" t="s">
        <v>223</v>
      </c>
      <c r="B202">
        <v>33</v>
      </c>
      <c r="C202" t="s">
        <v>12</v>
      </c>
      <c r="D202">
        <v>37.4</v>
      </c>
      <c r="E202">
        <v>112</v>
      </c>
      <c r="F202">
        <v>119</v>
      </c>
      <c r="G202" t="s">
        <v>13</v>
      </c>
      <c r="H202" t="s">
        <v>14</v>
      </c>
      <c r="I202" t="s">
        <v>34</v>
      </c>
      <c r="J202" s="2">
        <v>4969.66</v>
      </c>
      <c r="K202" s="3">
        <v>45906</v>
      </c>
      <c r="L202" s="3">
        <v>45917</v>
      </c>
      <c r="M202" t="s">
        <v>19</v>
      </c>
      <c r="N202" t="str">
        <f>IF(Table1[[#This Row],[Age]]&lt;25,"&lt; 25",IF(Table1[[#This Row],[Age]]&lt;36,"25-35",IF(Table1[[#This Row],[Age]]&lt;51,"36-50",IF(Table1[[#This Row],[Age]]&lt;66,"51-65",IF(Table1[[#This Row],[Age]]&gt;65,"&gt;65","none")))))</f>
        <v>25-35</v>
      </c>
      <c r="O202" t="str">
        <f>IF(AND(Table1[[#This Row],[Smoker]]="Yes",Table1[[#This Row],[Diabetic]]="Yes"),"Yes","No")</f>
        <v>No</v>
      </c>
      <c r="P202" t="str">
        <f>IF(OR(Table1[[#This Row],[Smoker]]="Yes",Table1[[#This Row],[Diabetic]]="Yes"),"Yes","No")</f>
        <v>Yes</v>
      </c>
      <c r="Q202" s="1" t="str">
        <f>IF(OR(Table1[[#This Row],[Systolic]]&gt;125,Table1[[#This Row],[Diastolic]]&gt;90),"High","Normal")</f>
        <v>High</v>
      </c>
      <c r="R202" s="1">
        <f>Table1[[#This Row],[Discharge_Date]]-Table1[[#This Row],[Admission_Date]]</f>
        <v>11</v>
      </c>
      <c r="S202" s="1"/>
    </row>
    <row r="203" spans="1:19" x14ac:dyDescent="0.3">
      <c r="A203" t="s">
        <v>224</v>
      </c>
      <c r="B203">
        <v>88</v>
      </c>
      <c r="C203" t="s">
        <v>18</v>
      </c>
      <c r="D203">
        <v>38.200000000000003</v>
      </c>
      <c r="E203">
        <v>111</v>
      </c>
      <c r="F203">
        <v>66</v>
      </c>
      <c r="G203" t="s">
        <v>14</v>
      </c>
      <c r="H203" t="s">
        <v>14</v>
      </c>
      <c r="I203" t="s">
        <v>15</v>
      </c>
      <c r="J203" s="2">
        <v>1720.65</v>
      </c>
      <c r="K203" s="3">
        <v>45880</v>
      </c>
      <c r="L203" s="3">
        <v>45885</v>
      </c>
      <c r="M203" t="s">
        <v>23</v>
      </c>
      <c r="N203" t="str">
        <f>IF(Table1[[#This Row],[Age]]&lt;25,"&lt; 25",IF(Table1[[#This Row],[Age]]&lt;36,"25-35",IF(Table1[[#This Row],[Age]]&lt;51,"36-50",IF(Table1[[#This Row],[Age]]&lt;66,"51-65",IF(Table1[[#This Row],[Age]]&gt;65,"&gt;65","none")))))</f>
        <v>&gt;65</v>
      </c>
      <c r="O203" t="str">
        <f>IF(AND(Table1[[#This Row],[Smoker]]="Yes",Table1[[#This Row],[Diabetic]]="Yes"),"Yes","No")</f>
        <v>Yes</v>
      </c>
      <c r="P203" t="str">
        <f>IF(OR(Table1[[#This Row],[Smoker]]="Yes",Table1[[#This Row],[Diabetic]]="Yes"),"Yes","No")</f>
        <v>Yes</v>
      </c>
      <c r="Q203" s="1" t="str">
        <f>IF(OR(Table1[[#This Row],[Systolic]]&gt;125,Table1[[#This Row],[Diastolic]]&gt;90),"High","Normal")</f>
        <v>Normal</v>
      </c>
      <c r="R203" s="1">
        <f>Table1[[#This Row],[Discharge_Date]]-Table1[[#This Row],[Admission_Date]]</f>
        <v>5</v>
      </c>
      <c r="S203" s="1"/>
    </row>
    <row r="204" spans="1:19" x14ac:dyDescent="0.3">
      <c r="A204" t="s">
        <v>225</v>
      </c>
      <c r="B204">
        <v>56</v>
      </c>
      <c r="C204" t="s">
        <v>18</v>
      </c>
      <c r="D204">
        <v>20.2</v>
      </c>
      <c r="E204">
        <v>123</v>
      </c>
      <c r="F204">
        <v>113</v>
      </c>
      <c r="G204" t="s">
        <v>13</v>
      </c>
      <c r="H204" t="s">
        <v>13</v>
      </c>
      <c r="I204" t="s">
        <v>15</v>
      </c>
      <c r="J204" s="2">
        <v>1771.3</v>
      </c>
      <c r="K204" s="3">
        <v>45643</v>
      </c>
      <c r="L204" s="3">
        <v>45646</v>
      </c>
      <c r="M204" t="s">
        <v>19</v>
      </c>
      <c r="N204" t="str">
        <f>IF(Table1[[#This Row],[Age]]&lt;25,"&lt; 25",IF(Table1[[#This Row],[Age]]&lt;36,"25-35",IF(Table1[[#This Row],[Age]]&lt;51,"36-50",IF(Table1[[#This Row],[Age]]&lt;66,"51-65",IF(Table1[[#This Row],[Age]]&gt;65,"&gt;65","none")))))</f>
        <v>51-65</v>
      </c>
      <c r="O204" t="str">
        <f>IF(AND(Table1[[#This Row],[Smoker]]="Yes",Table1[[#This Row],[Diabetic]]="Yes"),"Yes","No")</f>
        <v>No</v>
      </c>
      <c r="P204" t="str">
        <f>IF(OR(Table1[[#This Row],[Smoker]]="Yes",Table1[[#This Row],[Diabetic]]="Yes"),"Yes","No")</f>
        <v>No</v>
      </c>
      <c r="Q204" s="1" t="str">
        <f>IF(OR(Table1[[#This Row],[Systolic]]&gt;125,Table1[[#This Row],[Diastolic]]&gt;90),"High","Normal")</f>
        <v>High</v>
      </c>
      <c r="R204" s="1">
        <f>Table1[[#This Row],[Discharge_Date]]-Table1[[#This Row],[Admission_Date]]</f>
        <v>3</v>
      </c>
      <c r="S204" s="1"/>
    </row>
    <row r="205" spans="1:19" x14ac:dyDescent="0.3">
      <c r="A205" t="s">
        <v>226</v>
      </c>
      <c r="B205">
        <v>42</v>
      </c>
      <c r="C205" t="s">
        <v>18</v>
      </c>
      <c r="D205">
        <v>32.5</v>
      </c>
      <c r="E205">
        <v>95</v>
      </c>
      <c r="F205">
        <v>103</v>
      </c>
      <c r="G205" t="s">
        <v>13</v>
      </c>
      <c r="H205" t="s">
        <v>13</v>
      </c>
      <c r="I205" t="s">
        <v>15</v>
      </c>
      <c r="J205" s="2">
        <v>2059.87</v>
      </c>
      <c r="K205" s="3">
        <v>45652</v>
      </c>
      <c r="L205" s="3">
        <v>45658</v>
      </c>
      <c r="M205" t="s">
        <v>19</v>
      </c>
      <c r="N205" t="str">
        <f>IF(Table1[[#This Row],[Age]]&lt;25,"&lt; 25",IF(Table1[[#This Row],[Age]]&lt;36,"25-35",IF(Table1[[#This Row],[Age]]&lt;51,"36-50",IF(Table1[[#This Row],[Age]]&lt;66,"51-65",IF(Table1[[#This Row],[Age]]&gt;65,"&gt;65","none")))))</f>
        <v>36-50</v>
      </c>
      <c r="O205" t="str">
        <f>IF(AND(Table1[[#This Row],[Smoker]]="Yes",Table1[[#This Row],[Diabetic]]="Yes"),"Yes","No")</f>
        <v>No</v>
      </c>
      <c r="P205" t="str">
        <f>IF(OR(Table1[[#This Row],[Smoker]]="Yes",Table1[[#This Row],[Diabetic]]="Yes"),"Yes","No")</f>
        <v>No</v>
      </c>
      <c r="Q205" s="1" t="str">
        <f>IF(OR(Table1[[#This Row],[Systolic]]&gt;125,Table1[[#This Row],[Diastolic]]&gt;90),"High","Normal")</f>
        <v>High</v>
      </c>
      <c r="R205" s="1">
        <f>Table1[[#This Row],[Discharge_Date]]-Table1[[#This Row],[Admission_Date]]</f>
        <v>6</v>
      </c>
      <c r="S205" s="1"/>
    </row>
    <row r="206" spans="1:19" x14ac:dyDescent="0.3">
      <c r="A206" t="s">
        <v>227</v>
      </c>
      <c r="B206">
        <v>74</v>
      </c>
      <c r="C206" t="s">
        <v>18</v>
      </c>
      <c r="D206">
        <v>24.8</v>
      </c>
      <c r="E206">
        <v>151</v>
      </c>
      <c r="F206">
        <v>113</v>
      </c>
      <c r="G206" t="s">
        <v>13</v>
      </c>
      <c r="H206" t="s">
        <v>14</v>
      </c>
      <c r="I206" t="s">
        <v>34</v>
      </c>
      <c r="J206" s="2">
        <v>319.79000000000002</v>
      </c>
      <c r="K206" s="3">
        <v>45876</v>
      </c>
      <c r="L206" s="3">
        <v>45884</v>
      </c>
      <c r="M206" t="s">
        <v>16</v>
      </c>
      <c r="N206" t="str">
        <f>IF(Table1[[#This Row],[Age]]&lt;25,"&lt; 25",IF(Table1[[#This Row],[Age]]&lt;36,"25-35",IF(Table1[[#This Row],[Age]]&lt;51,"36-50",IF(Table1[[#This Row],[Age]]&lt;66,"51-65",IF(Table1[[#This Row],[Age]]&gt;65,"&gt;65","none")))))</f>
        <v>&gt;65</v>
      </c>
      <c r="O206" t="str">
        <f>IF(AND(Table1[[#This Row],[Smoker]]="Yes",Table1[[#This Row],[Diabetic]]="Yes"),"Yes","No")</f>
        <v>No</v>
      </c>
      <c r="P206" t="str">
        <f>IF(OR(Table1[[#This Row],[Smoker]]="Yes",Table1[[#This Row],[Diabetic]]="Yes"),"Yes","No")</f>
        <v>Yes</v>
      </c>
      <c r="Q206" s="1" t="str">
        <f>IF(OR(Table1[[#This Row],[Systolic]]&gt;125,Table1[[#This Row],[Diastolic]]&gt;90),"High","Normal")</f>
        <v>High</v>
      </c>
      <c r="R206" s="1">
        <f>Table1[[#This Row],[Discharge_Date]]-Table1[[#This Row],[Admission_Date]]</f>
        <v>8</v>
      </c>
      <c r="S206" s="1"/>
    </row>
    <row r="207" spans="1:19" x14ac:dyDescent="0.3">
      <c r="A207" t="s">
        <v>228</v>
      </c>
      <c r="B207">
        <v>19</v>
      </c>
      <c r="C207" t="s">
        <v>18</v>
      </c>
      <c r="D207">
        <v>31</v>
      </c>
      <c r="E207">
        <v>154</v>
      </c>
      <c r="F207">
        <v>103</v>
      </c>
      <c r="G207" t="s">
        <v>13</v>
      </c>
      <c r="H207" t="s">
        <v>14</v>
      </c>
      <c r="I207" t="s">
        <v>15</v>
      </c>
      <c r="J207" s="2">
        <v>644.47</v>
      </c>
      <c r="K207" s="3">
        <v>45721</v>
      </c>
      <c r="L207" s="3">
        <v>45722</v>
      </c>
      <c r="M207" t="s">
        <v>19</v>
      </c>
      <c r="N207" t="str">
        <f>IF(Table1[[#This Row],[Age]]&lt;25,"&lt; 25",IF(Table1[[#This Row],[Age]]&lt;36,"25-35",IF(Table1[[#This Row],[Age]]&lt;51,"36-50",IF(Table1[[#This Row],[Age]]&lt;66,"51-65",IF(Table1[[#This Row],[Age]]&gt;65,"&gt;65","none")))))</f>
        <v>&lt; 25</v>
      </c>
      <c r="O207" t="str">
        <f>IF(AND(Table1[[#This Row],[Smoker]]="Yes",Table1[[#This Row],[Diabetic]]="Yes"),"Yes","No")</f>
        <v>No</v>
      </c>
      <c r="P207" t="str">
        <f>IF(OR(Table1[[#This Row],[Smoker]]="Yes",Table1[[#This Row],[Diabetic]]="Yes"),"Yes","No")</f>
        <v>Yes</v>
      </c>
      <c r="Q207" s="1" t="str">
        <f>IF(OR(Table1[[#This Row],[Systolic]]&gt;125,Table1[[#This Row],[Diastolic]]&gt;90),"High","Normal")</f>
        <v>High</v>
      </c>
      <c r="R207" s="1">
        <f>Table1[[#This Row],[Discharge_Date]]-Table1[[#This Row],[Admission_Date]]</f>
        <v>1</v>
      </c>
      <c r="S207" s="1"/>
    </row>
    <row r="208" spans="1:19" x14ac:dyDescent="0.3">
      <c r="A208" t="s">
        <v>229</v>
      </c>
      <c r="B208">
        <v>54</v>
      </c>
      <c r="C208" t="s">
        <v>18</v>
      </c>
      <c r="D208">
        <v>30.7</v>
      </c>
      <c r="E208">
        <v>170</v>
      </c>
      <c r="F208">
        <v>71</v>
      </c>
      <c r="G208" t="s">
        <v>13</v>
      </c>
      <c r="H208" t="s">
        <v>13</v>
      </c>
      <c r="I208" t="s">
        <v>25</v>
      </c>
      <c r="J208" s="2">
        <v>2234.34</v>
      </c>
      <c r="K208" s="3">
        <v>45827</v>
      </c>
      <c r="L208" s="3">
        <v>45837</v>
      </c>
      <c r="M208" t="s">
        <v>16</v>
      </c>
      <c r="N208" t="str">
        <f>IF(Table1[[#This Row],[Age]]&lt;25,"&lt; 25",IF(Table1[[#This Row],[Age]]&lt;36,"25-35",IF(Table1[[#This Row],[Age]]&lt;51,"36-50",IF(Table1[[#This Row],[Age]]&lt;66,"51-65",IF(Table1[[#This Row],[Age]]&gt;65,"&gt;65","none")))))</f>
        <v>51-65</v>
      </c>
      <c r="O208" t="str">
        <f>IF(AND(Table1[[#This Row],[Smoker]]="Yes",Table1[[#This Row],[Diabetic]]="Yes"),"Yes","No")</f>
        <v>No</v>
      </c>
      <c r="P208" t="str">
        <f>IF(OR(Table1[[#This Row],[Smoker]]="Yes",Table1[[#This Row],[Diabetic]]="Yes"),"Yes","No")</f>
        <v>No</v>
      </c>
      <c r="Q208" s="1" t="str">
        <f>IF(OR(Table1[[#This Row],[Systolic]]&gt;125,Table1[[#This Row],[Diastolic]]&gt;90),"High","Normal")</f>
        <v>High</v>
      </c>
      <c r="R208" s="1">
        <f>Table1[[#This Row],[Discharge_Date]]-Table1[[#This Row],[Admission_Date]]</f>
        <v>10</v>
      </c>
      <c r="S208" s="1"/>
    </row>
    <row r="209" spans="1:19" x14ac:dyDescent="0.3">
      <c r="A209" t="s">
        <v>230</v>
      </c>
      <c r="B209">
        <v>51</v>
      </c>
      <c r="C209" t="s">
        <v>12</v>
      </c>
      <c r="D209">
        <v>19.100000000000001</v>
      </c>
      <c r="E209">
        <v>144</v>
      </c>
      <c r="F209">
        <v>68</v>
      </c>
      <c r="G209" t="s">
        <v>14</v>
      </c>
      <c r="H209" t="s">
        <v>13</v>
      </c>
      <c r="I209" t="s">
        <v>15</v>
      </c>
      <c r="J209" s="2">
        <v>2019.28</v>
      </c>
      <c r="K209" s="3">
        <v>45686</v>
      </c>
      <c r="L209" s="3">
        <v>45687</v>
      </c>
      <c r="M209" t="s">
        <v>16</v>
      </c>
      <c r="N209" t="str">
        <f>IF(Table1[[#This Row],[Age]]&lt;25,"&lt; 25",IF(Table1[[#This Row],[Age]]&lt;36,"25-35",IF(Table1[[#This Row],[Age]]&lt;51,"36-50",IF(Table1[[#This Row],[Age]]&lt;66,"51-65",IF(Table1[[#This Row],[Age]]&gt;65,"&gt;65","none")))))</f>
        <v>51-65</v>
      </c>
      <c r="O209" t="str">
        <f>IF(AND(Table1[[#This Row],[Smoker]]="Yes",Table1[[#This Row],[Diabetic]]="Yes"),"Yes","No")</f>
        <v>No</v>
      </c>
      <c r="P209" t="str">
        <f>IF(OR(Table1[[#This Row],[Smoker]]="Yes",Table1[[#This Row],[Diabetic]]="Yes"),"Yes","No")</f>
        <v>Yes</v>
      </c>
      <c r="Q209" s="1" t="str">
        <f>IF(OR(Table1[[#This Row],[Systolic]]&gt;125,Table1[[#This Row],[Diastolic]]&gt;90),"High","Normal")</f>
        <v>High</v>
      </c>
      <c r="R209" s="1">
        <f>Table1[[#This Row],[Discharge_Date]]-Table1[[#This Row],[Admission_Date]]</f>
        <v>1</v>
      </c>
      <c r="S209" s="1"/>
    </row>
    <row r="210" spans="1:19" x14ac:dyDescent="0.3">
      <c r="A210" t="s">
        <v>231</v>
      </c>
      <c r="B210">
        <v>71</v>
      </c>
      <c r="C210" t="s">
        <v>18</v>
      </c>
      <c r="D210">
        <v>18.600000000000001</v>
      </c>
      <c r="E210">
        <v>113</v>
      </c>
      <c r="F210">
        <v>94</v>
      </c>
      <c r="G210" t="s">
        <v>13</v>
      </c>
      <c r="H210" t="s">
        <v>13</v>
      </c>
      <c r="I210" t="s">
        <v>25</v>
      </c>
      <c r="J210" s="2">
        <v>3749.26</v>
      </c>
      <c r="K210" s="3">
        <v>45778</v>
      </c>
      <c r="L210" s="3">
        <v>45782</v>
      </c>
      <c r="M210" t="s">
        <v>19</v>
      </c>
      <c r="N210" t="str">
        <f>IF(Table1[[#This Row],[Age]]&lt;25,"&lt; 25",IF(Table1[[#This Row],[Age]]&lt;36,"25-35",IF(Table1[[#This Row],[Age]]&lt;51,"36-50",IF(Table1[[#This Row],[Age]]&lt;66,"51-65",IF(Table1[[#This Row],[Age]]&gt;65,"&gt;65","none")))))</f>
        <v>&gt;65</v>
      </c>
      <c r="O210" t="str">
        <f>IF(AND(Table1[[#This Row],[Smoker]]="Yes",Table1[[#This Row],[Diabetic]]="Yes"),"Yes","No")</f>
        <v>No</v>
      </c>
      <c r="P210" t="str">
        <f>IF(OR(Table1[[#This Row],[Smoker]]="Yes",Table1[[#This Row],[Diabetic]]="Yes"),"Yes","No")</f>
        <v>No</v>
      </c>
      <c r="Q210" s="1" t="str">
        <f>IF(OR(Table1[[#This Row],[Systolic]]&gt;125,Table1[[#This Row],[Diastolic]]&gt;90),"High","Normal")</f>
        <v>High</v>
      </c>
      <c r="R210" s="1">
        <f>Table1[[#This Row],[Discharge_Date]]-Table1[[#This Row],[Admission_Date]]</f>
        <v>4</v>
      </c>
      <c r="S210" s="1"/>
    </row>
    <row r="211" spans="1:19" x14ac:dyDescent="0.3">
      <c r="A211" t="s">
        <v>232</v>
      </c>
      <c r="B211">
        <v>83</v>
      </c>
      <c r="C211" t="s">
        <v>12</v>
      </c>
      <c r="D211">
        <v>28.6</v>
      </c>
      <c r="E211">
        <v>166</v>
      </c>
      <c r="F211">
        <v>72</v>
      </c>
      <c r="G211" t="s">
        <v>13</v>
      </c>
      <c r="H211" t="s">
        <v>14</v>
      </c>
      <c r="I211" t="s">
        <v>34</v>
      </c>
      <c r="J211" s="2">
        <v>4328.45</v>
      </c>
      <c r="K211" s="3">
        <v>45832</v>
      </c>
      <c r="L211" s="3">
        <v>45835</v>
      </c>
      <c r="M211" t="s">
        <v>23</v>
      </c>
      <c r="N211" t="str">
        <f>IF(Table1[[#This Row],[Age]]&lt;25,"&lt; 25",IF(Table1[[#This Row],[Age]]&lt;36,"25-35",IF(Table1[[#This Row],[Age]]&lt;51,"36-50",IF(Table1[[#This Row],[Age]]&lt;66,"51-65",IF(Table1[[#This Row],[Age]]&gt;65,"&gt;65","none")))))</f>
        <v>&gt;65</v>
      </c>
      <c r="O211" t="str">
        <f>IF(AND(Table1[[#This Row],[Smoker]]="Yes",Table1[[#This Row],[Diabetic]]="Yes"),"Yes","No")</f>
        <v>No</v>
      </c>
      <c r="P211" t="str">
        <f>IF(OR(Table1[[#This Row],[Smoker]]="Yes",Table1[[#This Row],[Diabetic]]="Yes"),"Yes","No")</f>
        <v>Yes</v>
      </c>
      <c r="Q211" s="1" t="str">
        <f>IF(OR(Table1[[#This Row],[Systolic]]&gt;125,Table1[[#This Row],[Diastolic]]&gt;90),"High","Normal")</f>
        <v>High</v>
      </c>
      <c r="R211" s="1">
        <f>Table1[[#This Row],[Discharge_Date]]-Table1[[#This Row],[Admission_Date]]</f>
        <v>3</v>
      </c>
      <c r="S211" s="1"/>
    </row>
    <row r="212" spans="1:19" x14ac:dyDescent="0.3">
      <c r="A212" t="s">
        <v>233</v>
      </c>
      <c r="B212">
        <v>65</v>
      </c>
      <c r="C212" t="s">
        <v>12</v>
      </c>
      <c r="D212">
        <v>33.700000000000003</v>
      </c>
      <c r="E212">
        <v>123</v>
      </c>
      <c r="F212">
        <v>116</v>
      </c>
      <c r="G212" t="s">
        <v>14</v>
      </c>
      <c r="H212" t="s">
        <v>14</v>
      </c>
      <c r="I212" t="s">
        <v>15</v>
      </c>
      <c r="J212" s="2">
        <v>3376.78</v>
      </c>
      <c r="K212" s="3">
        <v>45676</v>
      </c>
      <c r="L212" s="3">
        <v>45686</v>
      </c>
      <c r="M212" t="s">
        <v>23</v>
      </c>
      <c r="N212" t="str">
        <f>IF(Table1[[#This Row],[Age]]&lt;25,"&lt; 25",IF(Table1[[#This Row],[Age]]&lt;36,"25-35",IF(Table1[[#This Row],[Age]]&lt;51,"36-50",IF(Table1[[#This Row],[Age]]&lt;66,"51-65",IF(Table1[[#This Row],[Age]]&gt;65,"&gt;65","none")))))</f>
        <v>51-65</v>
      </c>
      <c r="O212" t="str">
        <f>IF(AND(Table1[[#This Row],[Smoker]]="Yes",Table1[[#This Row],[Diabetic]]="Yes"),"Yes","No")</f>
        <v>Yes</v>
      </c>
      <c r="P212" t="str">
        <f>IF(OR(Table1[[#This Row],[Smoker]]="Yes",Table1[[#This Row],[Diabetic]]="Yes"),"Yes","No")</f>
        <v>Yes</v>
      </c>
      <c r="Q212" s="1" t="str">
        <f>IF(OR(Table1[[#This Row],[Systolic]]&gt;125,Table1[[#This Row],[Diastolic]]&gt;90),"High","Normal")</f>
        <v>High</v>
      </c>
      <c r="R212" s="1">
        <f>Table1[[#This Row],[Discharge_Date]]-Table1[[#This Row],[Admission_Date]]</f>
        <v>10</v>
      </c>
      <c r="S212" s="1"/>
    </row>
    <row r="213" spans="1:19" x14ac:dyDescent="0.3">
      <c r="A213" t="s">
        <v>234</v>
      </c>
      <c r="B213">
        <v>66</v>
      </c>
      <c r="C213" t="s">
        <v>18</v>
      </c>
      <c r="D213">
        <v>21.5</v>
      </c>
      <c r="E213">
        <v>134</v>
      </c>
      <c r="F213">
        <v>113</v>
      </c>
      <c r="G213" t="s">
        <v>14</v>
      </c>
      <c r="H213" t="s">
        <v>14</v>
      </c>
      <c r="I213" t="s">
        <v>32</v>
      </c>
      <c r="J213" s="2">
        <v>1481.57</v>
      </c>
      <c r="K213" s="3">
        <v>45843</v>
      </c>
      <c r="L213" s="3">
        <v>45855</v>
      </c>
      <c r="M213" t="s">
        <v>16</v>
      </c>
      <c r="N213" t="str">
        <f>IF(Table1[[#This Row],[Age]]&lt;25,"&lt; 25",IF(Table1[[#This Row],[Age]]&lt;36,"25-35",IF(Table1[[#This Row],[Age]]&lt;51,"36-50",IF(Table1[[#This Row],[Age]]&lt;66,"51-65",IF(Table1[[#This Row],[Age]]&gt;65,"&gt;65","none")))))</f>
        <v>&gt;65</v>
      </c>
      <c r="O213" t="str">
        <f>IF(AND(Table1[[#This Row],[Smoker]]="Yes",Table1[[#This Row],[Diabetic]]="Yes"),"Yes","No")</f>
        <v>Yes</v>
      </c>
      <c r="P213" t="str">
        <f>IF(OR(Table1[[#This Row],[Smoker]]="Yes",Table1[[#This Row],[Diabetic]]="Yes"),"Yes","No")</f>
        <v>Yes</v>
      </c>
      <c r="Q213" s="1" t="str">
        <f>IF(OR(Table1[[#This Row],[Systolic]]&gt;125,Table1[[#This Row],[Diastolic]]&gt;90),"High","Normal")</f>
        <v>High</v>
      </c>
      <c r="R213" s="1">
        <f>Table1[[#This Row],[Discharge_Date]]-Table1[[#This Row],[Admission_Date]]</f>
        <v>12</v>
      </c>
      <c r="S213" s="1"/>
    </row>
    <row r="214" spans="1:19" x14ac:dyDescent="0.3">
      <c r="A214" t="s">
        <v>235</v>
      </c>
      <c r="B214">
        <v>56</v>
      </c>
      <c r="C214" t="s">
        <v>12</v>
      </c>
      <c r="D214">
        <v>28.7</v>
      </c>
      <c r="E214">
        <v>154</v>
      </c>
      <c r="F214">
        <v>67</v>
      </c>
      <c r="G214" t="s">
        <v>13</v>
      </c>
      <c r="H214" t="s">
        <v>13</v>
      </c>
      <c r="I214" t="s">
        <v>15</v>
      </c>
      <c r="J214" s="2">
        <v>4141.29</v>
      </c>
      <c r="K214" s="3">
        <v>45823</v>
      </c>
      <c r="L214" s="3">
        <v>45831</v>
      </c>
      <c r="M214" t="s">
        <v>23</v>
      </c>
      <c r="N214" t="str">
        <f>IF(Table1[[#This Row],[Age]]&lt;25,"&lt; 25",IF(Table1[[#This Row],[Age]]&lt;36,"25-35",IF(Table1[[#This Row],[Age]]&lt;51,"36-50",IF(Table1[[#This Row],[Age]]&lt;66,"51-65",IF(Table1[[#This Row],[Age]]&gt;65,"&gt;65","none")))))</f>
        <v>51-65</v>
      </c>
      <c r="O214" t="str">
        <f>IF(AND(Table1[[#This Row],[Smoker]]="Yes",Table1[[#This Row],[Diabetic]]="Yes"),"Yes","No")</f>
        <v>No</v>
      </c>
      <c r="P214" t="str">
        <f>IF(OR(Table1[[#This Row],[Smoker]]="Yes",Table1[[#This Row],[Diabetic]]="Yes"),"Yes","No")</f>
        <v>No</v>
      </c>
      <c r="Q214" s="1" t="str">
        <f>IF(OR(Table1[[#This Row],[Systolic]]&gt;125,Table1[[#This Row],[Diastolic]]&gt;90),"High","Normal")</f>
        <v>High</v>
      </c>
      <c r="R214" s="1">
        <f>Table1[[#This Row],[Discharge_Date]]-Table1[[#This Row],[Admission_Date]]</f>
        <v>8</v>
      </c>
      <c r="S214" s="1"/>
    </row>
    <row r="215" spans="1:19" x14ac:dyDescent="0.3">
      <c r="A215" t="s">
        <v>236</v>
      </c>
      <c r="B215">
        <v>21</v>
      </c>
      <c r="C215" t="s">
        <v>18</v>
      </c>
      <c r="D215">
        <v>28.5</v>
      </c>
      <c r="E215">
        <v>95</v>
      </c>
      <c r="F215">
        <v>78</v>
      </c>
      <c r="G215" t="s">
        <v>14</v>
      </c>
      <c r="H215" t="s">
        <v>13</v>
      </c>
      <c r="I215" t="s">
        <v>21</v>
      </c>
      <c r="J215" s="2">
        <v>4609.99</v>
      </c>
      <c r="K215" s="3">
        <v>45889</v>
      </c>
      <c r="L215" s="3">
        <v>45903</v>
      </c>
      <c r="M215" t="s">
        <v>16</v>
      </c>
      <c r="N215" t="str">
        <f>IF(Table1[[#This Row],[Age]]&lt;25,"&lt; 25",IF(Table1[[#This Row],[Age]]&lt;36,"25-35",IF(Table1[[#This Row],[Age]]&lt;51,"36-50",IF(Table1[[#This Row],[Age]]&lt;66,"51-65",IF(Table1[[#This Row],[Age]]&gt;65,"&gt;65","none")))))</f>
        <v>&lt; 25</v>
      </c>
      <c r="O215" t="str">
        <f>IF(AND(Table1[[#This Row],[Smoker]]="Yes",Table1[[#This Row],[Diabetic]]="Yes"),"Yes","No")</f>
        <v>No</v>
      </c>
      <c r="P215" t="str">
        <f>IF(OR(Table1[[#This Row],[Smoker]]="Yes",Table1[[#This Row],[Diabetic]]="Yes"),"Yes","No")</f>
        <v>Yes</v>
      </c>
      <c r="Q215" s="1" t="str">
        <f>IF(OR(Table1[[#This Row],[Systolic]]&gt;125,Table1[[#This Row],[Diastolic]]&gt;90),"High","Normal")</f>
        <v>Normal</v>
      </c>
      <c r="R215" s="1">
        <f>Table1[[#This Row],[Discharge_Date]]-Table1[[#This Row],[Admission_Date]]</f>
        <v>14</v>
      </c>
      <c r="S215" s="1"/>
    </row>
    <row r="216" spans="1:19" x14ac:dyDescent="0.3">
      <c r="A216" t="s">
        <v>237</v>
      </c>
      <c r="B216">
        <v>51</v>
      </c>
      <c r="C216" t="s">
        <v>18</v>
      </c>
      <c r="D216">
        <v>19.5</v>
      </c>
      <c r="E216">
        <v>90</v>
      </c>
      <c r="F216">
        <v>100</v>
      </c>
      <c r="G216" t="s">
        <v>13</v>
      </c>
      <c r="H216" t="s">
        <v>13</v>
      </c>
      <c r="I216" t="s">
        <v>25</v>
      </c>
      <c r="J216" s="2">
        <v>1968.91</v>
      </c>
      <c r="K216" s="3">
        <v>45651</v>
      </c>
      <c r="L216" s="3">
        <v>45661</v>
      </c>
      <c r="M216" t="s">
        <v>23</v>
      </c>
      <c r="N216" t="str">
        <f>IF(Table1[[#This Row],[Age]]&lt;25,"&lt; 25",IF(Table1[[#This Row],[Age]]&lt;36,"25-35",IF(Table1[[#This Row],[Age]]&lt;51,"36-50",IF(Table1[[#This Row],[Age]]&lt;66,"51-65",IF(Table1[[#This Row],[Age]]&gt;65,"&gt;65","none")))))</f>
        <v>51-65</v>
      </c>
      <c r="O216" t="str">
        <f>IF(AND(Table1[[#This Row],[Smoker]]="Yes",Table1[[#This Row],[Diabetic]]="Yes"),"Yes","No")</f>
        <v>No</v>
      </c>
      <c r="P216" t="str">
        <f>IF(OR(Table1[[#This Row],[Smoker]]="Yes",Table1[[#This Row],[Diabetic]]="Yes"),"Yes","No")</f>
        <v>No</v>
      </c>
      <c r="Q216" s="1" t="str">
        <f>IF(OR(Table1[[#This Row],[Systolic]]&gt;125,Table1[[#This Row],[Diastolic]]&gt;90),"High","Normal")</f>
        <v>High</v>
      </c>
      <c r="R216" s="1">
        <f>Table1[[#This Row],[Discharge_Date]]-Table1[[#This Row],[Admission_Date]]</f>
        <v>10</v>
      </c>
      <c r="S216" s="1"/>
    </row>
    <row r="217" spans="1:19" x14ac:dyDescent="0.3">
      <c r="A217" t="s">
        <v>238</v>
      </c>
      <c r="B217">
        <v>88</v>
      </c>
      <c r="C217" t="s">
        <v>18</v>
      </c>
      <c r="D217">
        <v>21.5</v>
      </c>
      <c r="E217">
        <v>158</v>
      </c>
      <c r="F217">
        <v>120</v>
      </c>
      <c r="G217" t="s">
        <v>14</v>
      </c>
      <c r="H217" t="s">
        <v>13</v>
      </c>
      <c r="I217" t="s">
        <v>34</v>
      </c>
      <c r="J217" s="2">
        <v>4766.5600000000004</v>
      </c>
      <c r="K217" s="3">
        <v>45765</v>
      </c>
      <c r="L217" s="3">
        <v>45777</v>
      </c>
      <c r="M217" t="s">
        <v>16</v>
      </c>
      <c r="N217" t="str">
        <f>IF(Table1[[#This Row],[Age]]&lt;25,"&lt; 25",IF(Table1[[#This Row],[Age]]&lt;36,"25-35",IF(Table1[[#This Row],[Age]]&lt;51,"36-50",IF(Table1[[#This Row],[Age]]&lt;66,"51-65",IF(Table1[[#This Row],[Age]]&gt;65,"&gt;65","none")))))</f>
        <v>&gt;65</v>
      </c>
      <c r="O217" t="str">
        <f>IF(AND(Table1[[#This Row],[Smoker]]="Yes",Table1[[#This Row],[Diabetic]]="Yes"),"Yes","No")</f>
        <v>No</v>
      </c>
      <c r="P217" t="str">
        <f>IF(OR(Table1[[#This Row],[Smoker]]="Yes",Table1[[#This Row],[Diabetic]]="Yes"),"Yes","No")</f>
        <v>Yes</v>
      </c>
      <c r="Q217" s="1" t="str">
        <f>IF(OR(Table1[[#This Row],[Systolic]]&gt;125,Table1[[#This Row],[Diastolic]]&gt;90),"High","Normal")</f>
        <v>High</v>
      </c>
      <c r="R217" s="1">
        <f>Table1[[#This Row],[Discharge_Date]]-Table1[[#This Row],[Admission_Date]]</f>
        <v>12</v>
      </c>
      <c r="S217" s="1"/>
    </row>
    <row r="218" spans="1:19" x14ac:dyDescent="0.3">
      <c r="A218" t="s">
        <v>239</v>
      </c>
      <c r="B218">
        <v>30</v>
      </c>
      <c r="C218" t="s">
        <v>18</v>
      </c>
      <c r="D218">
        <v>20.8</v>
      </c>
      <c r="E218">
        <v>90</v>
      </c>
      <c r="F218">
        <v>99</v>
      </c>
      <c r="G218" t="s">
        <v>14</v>
      </c>
      <c r="H218" t="s">
        <v>14</v>
      </c>
      <c r="I218" t="s">
        <v>15</v>
      </c>
      <c r="J218" s="2">
        <v>4225.24</v>
      </c>
      <c r="K218" s="3">
        <v>45878</v>
      </c>
      <c r="L218" s="3">
        <v>45890</v>
      </c>
      <c r="M218" t="s">
        <v>16</v>
      </c>
      <c r="N218" t="str">
        <f>IF(Table1[[#This Row],[Age]]&lt;25,"&lt; 25",IF(Table1[[#This Row],[Age]]&lt;36,"25-35",IF(Table1[[#This Row],[Age]]&lt;51,"36-50",IF(Table1[[#This Row],[Age]]&lt;66,"51-65",IF(Table1[[#This Row],[Age]]&gt;65,"&gt;65","none")))))</f>
        <v>25-35</v>
      </c>
      <c r="O218" t="str">
        <f>IF(AND(Table1[[#This Row],[Smoker]]="Yes",Table1[[#This Row],[Diabetic]]="Yes"),"Yes","No")</f>
        <v>Yes</v>
      </c>
      <c r="P218" t="str">
        <f>IF(OR(Table1[[#This Row],[Smoker]]="Yes",Table1[[#This Row],[Diabetic]]="Yes"),"Yes","No")</f>
        <v>Yes</v>
      </c>
      <c r="Q218" s="1" t="str">
        <f>IF(OR(Table1[[#This Row],[Systolic]]&gt;125,Table1[[#This Row],[Diastolic]]&gt;90),"High","Normal")</f>
        <v>High</v>
      </c>
      <c r="R218" s="1">
        <f>Table1[[#This Row],[Discharge_Date]]-Table1[[#This Row],[Admission_Date]]</f>
        <v>12</v>
      </c>
      <c r="S218" s="1"/>
    </row>
    <row r="219" spans="1:19" x14ac:dyDescent="0.3">
      <c r="A219" t="s">
        <v>240</v>
      </c>
      <c r="B219">
        <v>36</v>
      </c>
      <c r="C219" t="s">
        <v>18</v>
      </c>
      <c r="D219">
        <v>38.6</v>
      </c>
      <c r="E219">
        <v>141</v>
      </c>
      <c r="F219">
        <v>77</v>
      </c>
      <c r="G219" t="s">
        <v>14</v>
      </c>
      <c r="H219" t="s">
        <v>14</v>
      </c>
      <c r="I219" t="s">
        <v>21</v>
      </c>
      <c r="J219" s="2">
        <v>3749.54</v>
      </c>
      <c r="K219" s="3">
        <v>45930</v>
      </c>
      <c r="L219" s="3">
        <v>45935</v>
      </c>
      <c r="M219" t="s">
        <v>16</v>
      </c>
      <c r="N219" t="str">
        <f>IF(Table1[[#This Row],[Age]]&lt;25,"&lt; 25",IF(Table1[[#This Row],[Age]]&lt;36,"25-35",IF(Table1[[#This Row],[Age]]&lt;51,"36-50",IF(Table1[[#This Row],[Age]]&lt;66,"51-65",IF(Table1[[#This Row],[Age]]&gt;65,"&gt;65","none")))))</f>
        <v>36-50</v>
      </c>
      <c r="O219" t="str">
        <f>IF(AND(Table1[[#This Row],[Smoker]]="Yes",Table1[[#This Row],[Diabetic]]="Yes"),"Yes","No")</f>
        <v>Yes</v>
      </c>
      <c r="P219" t="str">
        <f>IF(OR(Table1[[#This Row],[Smoker]]="Yes",Table1[[#This Row],[Diabetic]]="Yes"),"Yes","No")</f>
        <v>Yes</v>
      </c>
      <c r="Q219" s="1" t="str">
        <f>IF(OR(Table1[[#This Row],[Systolic]]&gt;125,Table1[[#This Row],[Diastolic]]&gt;90),"High","Normal")</f>
        <v>High</v>
      </c>
      <c r="R219" s="1">
        <f>Table1[[#This Row],[Discharge_Date]]-Table1[[#This Row],[Admission_Date]]</f>
        <v>5</v>
      </c>
      <c r="S219" s="1"/>
    </row>
    <row r="220" spans="1:19" x14ac:dyDescent="0.3">
      <c r="A220" t="s">
        <v>241</v>
      </c>
      <c r="B220">
        <v>56</v>
      </c>
      <c r="C220" t="s">
        <v>12</v>
      </c>
      <c r="D220">
        <v>24</v>
      </c>
      <c r="E220">
        <v>138</v>
      </c>
      <c r="F220">
        <v>95</v>
      </c>
      <c r="G220" t="s">
        <v>14</v>
      </c>
      <c r="H220" t="s">
        <v>13</v>
      </c>
      <c r="I220" t="s">
        <v>21</v>
      </c>
      <c r="J220" s="2">
        <v>3382.65</v>
      </c>
      <c r="K220" s="3">
        <v>45841</v>
      </c>
      <c r="L220" s="3">
        <v>45853</v>
      </c>
      <c r="M220" t="s">
        <v>23</v>
      </c>
      <c r="N220" t="str">
        <f>IF(Table1[[#This Row],[Age]]&lt;25,"&lt; 25",IF(Table1[[#This Row],[Age]]&lt;36,"25-35",IF(Table1[[#This Row],[Age]]&lt;51,"36-50",IF(Table1[[#This Row],[Age]]&lt;66,"51-65",IF(Table1[[#This Row],[Age]]&gt;65,"&gt;65","none")))))</f>
        <v>51-65</v>
      </c>
      <c r="O220" t="str">
        <f>IF(AND(Table1[[#This Row],[Smoker]]="Yes",Table1[[#This Row],[Diabetic]]="Yes"),"Yes","No")</f>
        <v>No</v>
      </c>
      <c r="P220" t="str">
        <f>IF(OR(Table1[[#This Row],[Smoker]]="Yes",Table1[[#This Row],[Diabetic]]="Yes"),"Yes","No")</f>
        <v>Yes</v>
      </c>
      <c r="Q220" s="1" t="str">
        <f>IF(OR(Table1[[#This Row],[Systolic]]&gt;125,Table1[[#This Row],[Diastolic]]&gt;90),"High","Normal")</f>
        <v>High</v>
      </c>
      <c r="R220" s="1">
        <f>Table1[[#This Row],[Discharge_Date]]-Table1[[#This Row],[Admission_Date]]</f>
        <v>12</v>
      </c>
      <c r="S220" s="1"/>
    </row>
    <row r="221" spans="1:19" x14ac:dyDescent="0.3">
      <c r="A221" t="s">
        <v>242</v>
      </c>
      <c r="B221">
        <v>90</v>
      </c>
      <c r="C221" t="s">
        <v>18</v>
      </c>
      <c r="D221">
        <v>29.8</v>
      </c>
      <c r="E221">
        <v>137</v>
      </c>
      <c r="F221">
        <v>78</v>
      </c>
      <c r="G221" t="s">
        <v>14</v>
      </c>
      <c r="H221" t="s">
        <v>13</v>
      </c>
      <c r="I221" t="s">
        <v>21</v>
      </c>
      <c r="J221" s="2">
        <v>2562.91</v>
      </c>
      <c r="K221" s="3">
        <v>45875</v>
      </c>
      <c r="L221" s="3">
        <v>45882</v>
      </c>
      <c r="M221" t="s">
        <v>19</v>
      </c>
      <c r="N221" t="str">
        <f>IF(Table1[[#This Row],[Age]]&lt;25,"&lt; 25",IF(Table1[[#This Row],[Age]]&lt;36,"25-35",IF(Table1[[#This Row],[Age]]&lt;51,"36-50",IF(Table1[[#This Row],[Age]]&lt;66,"51-65",IF(Table1[[#This Row],[Age]]&gt;65,"&gt;65","none")))))</f>
        <v>&gt;65</v>
      </c>
      <c r="O221" t="str">
        <f>IF(AND(Table1[[#This Row],[Smoker]]="Yes",Table1[[#This Row],[Diabetic]]="Yes"),"Yes","No")</f>
        <v>No</v>
      </c>
      <c r="P221" t="str">
        <f>IF(OR(Table1[[#This Row],[Smoker]]="Yes",Table1[[#This Row],[Diabetic]]="Yes"),"Yes","No")</f>
        <v>Yes</v>
      </c>
      <c r="Q221" s="1" t="str">
        <f>IF(OR(Table1[[#This Row],[Systolic]]&gt;125,Table1[[#This Row],[Diastolic]]&gt;90),"High","Normal")</f>
        <v>High</v>
      </c>
      <c r="R221" s="1">
        <f>Table1[[#This Row],[Discharge_Date]]-Table1[[#This Row],[Admission_Date]]</f>
        <v>7</v>
      </c>
      <c r="S221" s="1"/>
    </row>
    <row r="222" spans="1:19" x14ac:dyDescent="0.3">
      <c r="A222" t="s">
        <v>243</v>
      </c>
      <c r="B222">
        <v>32</v>
      </c>
      <c r="C222" t="s">
        <v>18</v>
      </c>
      <c r="D222">
        <v>37</v>
      </c>
      <c r="E222">
        <v>143</v>
      </c>
      <c r="F222">
        <v>104</v>
      </c>
      <c r="G222" t="s">
        <v>13</v>
      </c>
      <c r="H222" t="s">
        <v>13</v>
      </c>
      <c r="I222" t="s">
        <v>25</v>
      </c>
      <c r="J222" s="2">
        <v>3692.23</v>
      </c>
      <c r="K222" s="3">
        <v>45690</v>
      </c>
      <c r="L222" s="3">
        <v>45699</v>
      </c>
      <c r="M222" t="s">
        <v>16</v>
      </c>
      <c r="N222" t="str">
        <f>IF(Table1[[#This Row],[Age]]&lt;25,"&lt; 25",IF(Table1[[#This Row],[Age]]&lt;36,"25-35",IF(Table1[[#This Row],[Age]]&lt;51,"36-50",IF(Table1[[#This Row],[Age]]&lt;66,"51-65",IF(Table1[[#This Row],[Age]]&gt;65,"&gt;65","none")))))</f>
        <v>25-35</v>
      </c>
      <c r="O222" t="str">
        <f>IF(AND(Table1[[#This Row],[Smoker]]="Yes",Table1[[#This Row],[Diabetic]]="Yes"),"Yes","No")</f>
        <v>No</v>
      </c>
      <c r="P222" t="str">
        <f>IF(OR(Table1[[#This Row],[Smoker]]="Yes",Table1[[#This Row],[Diabetic]]="Yes"),"Yes","No")</f>
        <v>No</v>
      </c>
      <c r="Q222" s="1" t="str">
        <f>IF(OR(Table1[[#This Row],[Systolic]]&gt;125,Table1[[#This Row],[Diastolic]]&gt;90),"High","Normal")</f>
        <v>High</v>
      </c>
      <c r="R222" s="1">
        <f>Table1[[#This Row],[Discharge_Date]]-Table1[[#This Row],[Admission_Date]]</f>
        <v>9</v>
      </c>
      <c r="S222" s="1"/>
    </row>
    <row r="223" spans="1:19" x14ac:dyDescent="0.3">
      <c r="A223" t="s">
        <v>244</v>
      </c>
      <c r="B223">
        <v>18</v>
      </c>
      <c r="C223" t="s">
        <v>12</v>
      </c>
      <c r="D223">
        <v>35.4</v>
      </c>
      <c r="E223">
        <v>117</v>
      </c>
      <c r="F223">
        <v>113</v>
      </c>
      <c r="G223" t="s">
        <v>13</v>
      </c>
      <c r="H223" t="s">
        <v>14</v>
      </c>
      <c r="I223" t="s">
        <v>32</v>
      </c>
      <c r="J223" s="2">
        <v>3718.2</v>
      </c>
      <c r="K223" s="3">
        <v>45680</v>
      </c>
      <c r="L223" s="3">
        <v>45684</v>
      </c>
      <c r="M223" t="s">
        <v>19</v>
      </c>
      <c r="N223" t="str">
        <f>IF(Table1[[#This Row],[Age]]&lt;25,"&lt; 25",IF(Table1[[#This Row],[Age]]&lt;36,"25-35",IF(Table1[[#This Row],[Age]]&lt;51,"36-50",IF(Table1[[#This Row],[Age]]&lt;66,"51-65",IF(Table1[[#This Row],[Age]]&gt;65,"&gt;65","none")))))</f>
        <v>&lt; 25</v>
      </c>
      <c r="O223" t="str">
        <f>IF(AND(Table1[[#This Row],[Smoker]]="Yes",Table1[[#This Row],[Diabetic]]="Yes"),"Yes","No")</f>
        <v>No</v>
      </c>
      <c r="P223" t="str">
        <f>IF(OR(Table1[[#This Row],[Smoker]]="Yes",Table1[[#This Row],[Diabetic]]="Yes"),"Yes","No")</f>
        <v>Yes</v>
      </c>
      <c r="Q223" s="1" t="str">
        <f>IF(OR(Table1[[#This Row],[Systolic]]&gt;125,Table1[[#This Row],[Diastolic]]&gt;90),"High","Normal")</f>
        <v>High</v>
      </c>
      <c r="R223" s="1">
        <f>Table1[[#This Row],[Discharge_Date]]-Table1[[#This Row],[Admission_Date]]</f>
        <v>4</v>
      </c>
      <c r="S223" s="1"/>
    </row>
    <row r="224" spans="1:19" x14ac:dyDescent="0.3">
      <c r="A224" t="s">
        <v>245</v>
      </c>
      <c r="B224">
        <v>44</v>
      </c>
      <c r="C224" t="s">
        <v>12</v>
      </c>
      <c r="D224">
        <v>19</v>
      </c>
      <c r="E224">
        <v>137</v>
      </c>
      <c r="F224">
        <v>90</v>
      </c>
      <c r="G224" t="s">
        <v>14</v>
      </c>
      <c r="H224" t="s">
        <v>14</v>
      </c>
      <c r="I224" t="s">
        <v>25</v>
      </c>
      <c r="J224" s="2">
        <v>1886.66</v>
      </c>
      <c r="K224" s="3">
        <v>45622</v>
      </c>
      <c r="L224" s="3">
        <v>45636</v>
      </c>
      <c r="M224" t="s">
        <v>23</v>
      </c>
      <c r="N224" t="str">
        <f>IF(Table1[[#This Row],[Age]]&lt;25,"&lt; 25",IF(Table1[[#This Row],[Age]]&lt;36,"25-35",IF(Table1[[#This Row],[Age]]&lt;51,"36-50",IF(Table1[[#This Row],[Age]]&lt;66,"51-65",IF(Table1[[#This Row],[Age]]&gt;65,"&gt;65","none")))))</f>
        <v>36-50</v>
      </c>
      <c r="O224" t="str">
        <f>IF(AND(Table1[[#This Row],[Smoker]]="Yes",Table1[[#This Row],[Diabetic]]="Yes"),"Yes","No")</f>
        <v>Yes</v>
      </c>
      <c r="P224" t="str">
        <f>IF(OR(Table1[[#This Row],[Smoker]]="Yes",Table1[[#This Row],[Diabetic]]="Yes"),"Yes","No")</f>
        <v>Yes</v>
      </c>
      <c r="Q224" s="1" t="str">
        <f>IF(OR(Table1[[#This Row],[Systolic]]&gt;125,Table1[[#This Row],[Diastolic]]&gt;90),"High","Normal")</f>
        <v>High</v>
      </c>
      <c r="R224" s="1">
        <f>Table1[[#This Row],[Discharge_Date]]-Table1[[#This Row],[Admission_Date]]</f>
        <v>14</v>
      </c>
      <c r="S224" s="1"/>
    </row>
    <row r="225" spans="1:19" x14ac:dyDescent="0.3">
      <c r="A225" t="s">
        <v>246</v>
      </c>
      <c r="B225">
        <v>54</v>
      </c>
      <c r="C225" t="s">
        <v>12</v>
      </c>
      <c r="D225">
        <v>32.700000000000003</v>
      </c>
      <c r="E225">
        <v>97</v>
      </c>
      <c r="F225">
        <v>70</v>
      </c>
      <c r="G225" t="s">
        <v>13</v>
      </c>
      <c r="H225" t="s">
        <v>14</v>
      </c>
      <c r="I225" t="s">
        <v>15</v>
      </c>
      <c r="J225" s="2">
        <v>2854.22</v>
      </c>
      <c r="K225" s="3">
        <v>45906</v>
      </c>
      <c r="L225" s="3">
        <v>45915</v>
      </c>
      <c r="M225" t="s">
        <v>23</v>
      </c>
      <c r="N225" t="str">
        <f>IF(Table1[[#This Row],[Age]]&lt;25,"&lt; 25",IF(Table1[[#This Row],[Age]]&lt;36,"25-35",IF(Table1[[#This Row],[Age]]&lt;51,"36-50",IF(Table1[[#This Row],[Age]]&lt;66,"51-65",IF(Table1[[#This Row],[Age]]&gt;65,"&gt;65","none")))))</f>
        <v>51-65</v>
      </c>
      <c r="O225" t="str">
        <f>IF(AND(Table1[[#This Row],[Smoker]]="Yes",Table1[[#This Row],[Diabetic]]="Yes"),"Yes","No")</f>
        <v>No</v>
      </c>
      <c r="P225" t="str">
        <f>IF(OR(Table1[[#This Row],[Smoker]]="Yes",Table1[[#This Row],[Diabetic]]="Yes"),"Yes","No")</f>
        <v>Yes</v>
      </c>
      <c r="Q225" s="1" t="str">
        <f>IF(OR(Table1[[#This Row],[Systolic]]&gt;125,Table1[[#This Row],[Diastolic]]&gt;90),"High","Normal")</f>
        <v>Normal</v>
      </c>
      <c r="R225" s="1">
        <f>Table1[[#This Row],[Discharge_Date]]-Table1[[#This Row],[Admission_Date]]</f>
        <v>9</v>
      </c>
      <c r="S225" s="1"/>
    </row>
    <row r="226" spans="1:19" x14ac:dyDescent="0.3">
      <c r="A226" t="s">
        <v>247</v>
      </c>
      <c r="B226">
        <v>37</v>
      </c>
      <c r="C226" t="s">
        <v>18</v>
      </c>
      <c r="D226">
        <v>31.4</v>
      </c>
      <c r="E226">
        <v>111</v>
      </c>
      <c r="F226">
        <v>114</v>
      </c>
      <c r="G226" t="s">
        <v>13</v>
      </c>
      <c r="H226" t="s">
        <v>14</v>
      </c>
      <c r="I226" t="s">
        <v>15</v>
      </c>
      <c r="J226" s="2">
        <v>2335.2199999999998</v>
      </c>
      <c r="K226" s="3">
        <v>45641</v>
      </c>
      <c r="L226" s="3">
        <v>45649</v>
      </c>
      <c r="M226" t="s">
        <v>23</v>
      </c>
      <c r="N226" t="str">
        <f>IF(Table1[[#This Row],[Age]]&lt;25,"&lt; 25",IF(Table1[[#This Row],[Age]]&lt;36,"25-35",IF(Table1[[#This Row],[Age]]&lt;51,"36-50",IF(Table1[[#This Row],[Age]]&lt;66,"51-65",IF(Table1[[#This Row],[Age]]&gt;65,"&gt;65","none")))))</f>
        <v>36-50</v>
      </c>
      <c r="O226" t="str">
        <f>IF(AND(Table1[[#This Row],[Smoker]]="Yes",Table1[[#This Row],[Diabetic]]="Yes"),"Yes","No")</f>
        <v>No</v>
      </c>
      <c r="P226" t="str">
        <f>IF(OR(Table1[[#This Row],[Smoker]]="Yes",Table1[[#This Row],[Diabetic]]="Yes"),"Yes","No")</f>
        <v>Yes</v>
      </c>
      <c r="Q226" s="1" t="str">
        <f>IF(OR(Table1[[#This Row],[Systolic]]&gt;125,Table1[[#This Row],[Diastolic]]&gt;90),"High","Normal")</f>
        <v>High</v>
      </c>
      <c r="R226" s="1">
        <f>Table1[[#This Row],[Discharge_Date]]-Table1[[#This Row],[Admission_Date]]</f>
        <v>8</v>
      </c>
      <c r="S226" s="1"/>
    </row>
    <row r="227" spans="1:19" x14ac:dyDescent="0.3">
      <c r="A227" t="s">
        <v>248</v>
      </c>
      <c r="B227">
        <v>75</v>
      </c>
      <c r="C227" t="s">
        <v>18</v>
      </c>
      <c r="D227">
        <v>32.299999999999997</v>
      </c>
      <c r="E227">
        <v>152</v>
      </c>
      <c r="F227">
        <v>81</v>
      </c>
      <c r="G227" t="s">
        <v>14</v>
      </c>
      <c r="H227" t="s">
        <v>13</v>
      </c>
      <c r="I227" t="s">
        <v>34</v>
      </c>
      <c r="J227" s="2">
        <v>1748.07</v>
      </c>
      <c r="K227" s="3">
        <v>45779</v>
      </c>
      <c r="L227" s="3">
        <v>45789</v>
      </c>
      <c r="M227" t="s">
        <v>16</v>
      </c>
      <c r="N227" t="str">
        <f>IF(Table1[[#This Row],[Age]]&lt;25,"&lt; 25",IF(Table1[[#This Row],[Age]]&lt;36,"25-35",IF(Table1[[#This Row],[Age]]&lt;51,"36-50",IF(Table1[[#This Row],[Age]]&lt;66,"51-65",IF(Table1[[#This Row],[Age]]&gt;65,"&gt;65","none")))))</f>
        <v>&gt;65</v>
      </c>
      <c r="O227" t="str">
        <f>IF(AND(Table1[[#This Row],[Smoker]]="Yes",Table1[[#This Row],[Diabetic]]="Yes"),"Yes","No")</f>
        <v>No</v>
      </c>
      <c r="P227" t="str">
        <f>IF(OR(Table1[[#This Row],[Smoker]]="Yes",Table1[[#This Row],[Diabetic]]="Yes"),"Yes","No")</f>
        <v>Yes</v>
      </c>
      <c r="Q227" s="1" t="str">
        <f>IF(OR(Table1[[#This Row],[Systolic]]&gt;125,Table1[[#This Row],[Diastolic]]&gt;90),"High","Normal")</f>
        <v>High</v>
      </c>
      <c r="R227" s="1">
        <f>Table1[[#This Row],[Discharge_Date]]-Table1[[#This Row],[Admission_Date]]</f>
        <v>10</v>
      </c>
      <c r="S227" s="1"/>
    </row>
    <row r="228" spans="1:19" x14ac:dyDescent="0.3">
      <c r="A228" t="s">
        <v>249</v>
      </c>
      <c r="B228">
        <v>75</v>
      </c>
      <c r="C228" t="s">
        <v>12</v>
      </c>
      <c r="D228">
        <v>20</v>
      </c>
      <c r="E228">
        <v>127</v>
      </c>
      <c r="F228">
        <v>114</v>
      </c>
      <c r="G228" t="s">
        <v>13</v>
      </c>
      <c r="H228" t="s">
        <v>13</v>
      </c>
      <c r="I228" t="s">
        <v>15</v>
      </c>
      <c r="J228" s="2">
        <v>4543.1099999999997</v>
      </c>
      <c r="K228" s="3">
        <v>45882</v>
      </c>
      <c r="L228" s="3">
        <v>45890</v>
      </c>
      <c r="M228" t="s">
        <v>19</v>
      </c>
      <c r="N228" t="str">
        <f>IF(Table1[[#This Row],[Age]]&lt;25,"&lt; 25",IF(Table1[[#This Row],[Age]]&lt;36,"25-35",IF(Table1[[#This Row],[Age]]&lt;51,"36-50",IF(Table1[[#This Row],[Age]]&lt;66,"51-65",IF(Table1[[#This Row],[Age]]&gt;65,"&gt;65","none")))))</f>
        <v>&gt;65</v>
      </c>
      <c r="O228" t="str">
        <f>IF(AND(Table1[[#This Row],[Smoker]]="Yes",Table1[[#This Row],[Diabetic]]="Yes"),"Yes","No")</f>
        <v>No</v>
      </c>
      <c r="P228" t="str">
        <f>IF(OR(Table1[[#This Row],[Smoker]]="Yes",Table1[[#This Row],[Diabetic]]="Yes"),"Yes","No")</f>
        <v>No</v>
      </c>
      <c r="Q228" s="1" t="str">
        <f>IF(OR(Table1[[#This Row],[Systolic]]&gt;125,Table1[[#This Row],[Diastolic]]&gt;90),"High","Normal")</f>
        <v>High</v>
      </c>
      <c r="R228" s="1">
        <f>Table1[[#This Row],[Discharge_Date]]-Table1[[#This Row],[Admission_Date]]</f>
        <v>8</v>
      </c>
      <c r="S228" s="1"/>
    </row>
    <row r="229" spans="1:19" x14ac:dyDescent="0.3">
      <c r="A229" t="s">
        <v>250</v>
      </c>
      <c r="B229">
        <v>29</v>
      </c>
      <c r="C229" t="s">
        <v>12</v>
      </c>
      <c r="D229">
        <v>31.7</v>
      </c>
      <c r="E229">
        <v>135</v>
      </c>
      <c r="F229">
        <v>82</v>
      </c>
      <c r="G229" t="s">
        <v>14</v>
      </c>
      <c r="H229" t="s">
        <v>13</v>
      </c>
      <c r="I229" t="s">
        <v>15</v>
      </c>
      <c r="J229" s="2">
        <v>2851.14</v>
      </c>
      <c r="K229" s="3">
        <v>45654</v>
      </c>
      <c r="L229" s="3">
        <v>45665</v>
      </c>
      <c r="M229" t="s">
        <v>16</v>
      </c>
      <c r="N229" t="str">
        <f>IF(Table1[[#This Row],[Age]]&lt;25,"&lt; 25",IF(Table1[[#This Row],[Age]]&lt;36,"25-35",IF(Table1[[#This Row],[Age]]&lt;51,"36-50",IF(Table1[[#This Row],[Age]]&lt;66,"51-65",IF(Table1[[#This Row],[Age]]&gt;65,"&gt;65","none")))))</f>
        <v>25-35</v>
      </c>
      <c r="O229" t="str">
        <f>IF(AND(Table1[[#This Row],[Smoker]]="Yes",Table1[[#This Row],[Diabetic]]="Yes"),"Yes","No")</f>
        <v>No</v>
      </c>
      <c r="P229" t="str">
        <f>IF(OR(Table1[[#This Row],[Smoker]]="Yes",Table1[[#This Row],[Diabetic]]="Yes"),"Yes","No")</f>
        <v>Yes</v>
      </c>
      <c r="Q229" s="1" t="str">
        <f>IF(OR(Table1[[#This Row],[Systolic]]&gt;125,Table1[[#This Row],[Diastolic]]&gt;90),"High","Normal")</f>
        <v>High</v>
      </c>
      <c r="R229" s="1">
        <f>Table1[[#This Row],[Discharge_Date]]-Table1[[#This Row],[Admission_Date]]</f>
        <v>11</v>
      </c>
      <c r="S229" s="1"/>
    </row>
    <row r="230" spans="1:19" x14ac:dyDescent="0.3">
      <c r="A230" t="s">
        <v>251</v>
      </c>
      <c r="B230">
        <v>81</v>
      </c>
      <c r="C230" t="s">
        <v>12</v>
      </c>
      <c r="D230">
        <v>34.1</v>
      </c>
      <c r="E230">
        <v>123</v>
      </c>
      <c r="F230">
        <v>102</v>
      </c>
      <c r="G230" t="s">
        <v>13</v>
      </c>
      <c r="H230" t="s">
        <v>14</v>
      </c>
      <c r="I230" t="s">
        <v>21</v>
      </c>
      <c r="J230" s="2">
        <v>244.09</v>
      </c>
      <c r="K230" s="3">
        <v>45663</v>
      </c>
      <c r="L230" s="3">
        <v>45673</v>
      </c>
      <c r="M230" t="s">
        <v>23</v>
      </c>
      <c r="N230" t="str">
        <f>IF(Table1[[#This Row],[Age]]&lt;25,"&lt; 25",IF(Table1[[#This Row],[Age]]&lt;36,"25-35",IF(Table1[[#This Row],[Age]]&lt;51,"36-50",IF(Table1[[#This Row],[Age]]&lt;66,"51-65",IF(Table1[[#This Row],[Age]]&gt;65,"&gt;65","none")))))</f>
        <v>&gt;65</v>
      </c>
      <c r="O230" t="str">
        <f>IF(AND(Table1[[#This Row],[Smoker]]="Yes",Table1[[#This Row],[Diabetic]]="Yes"),"Yes","No")</f>
        <v>No</v>
      </c>
      <c r="P230" t="str">
        <f>IF(OR(Table1[[#This Row],[Smoker]]="Yes",Table1[[#This Row],[Diabetic]]="Yes"),"Yes","No")</f>
        <v>Yes</v>
      </c>
      <c r="Q230" s="1" t="str">
        <f>IF(OR(Table1[[#This Row],[Systolic]]&gt;125,Table1[[#This Row],[Diastolic]]&gt;90),"High","Normal")</f>
        <v>High</v>
      </c>
      <c r="R230" s="1">
        <f>Table1[[#This Row],[Discharge_Date]]-Table1[[#This Row],[Admission_Date]]</f>
        <v>10</v>
      </c>
      <c r="S230" s="1"/>
    </row>
    <row r="231" spans="1:19" x14ac:dyDescent="0.3">
      <c r="A231" t="s">
        <v>252</v>
      </c>
      <c r="B231">
        <v>73</v>
      </c>
      <c r="C231" t="s">
        <v>18</v>
      </c>
      <c r="D231">
        <v>40</v>
      </c>
      <c r="E231">
        <v>171</v>
      </c>
      <c r="F231">
        <v>104</v>
      </c>
      <c r="G231" t="s">
        <v>13</v>
      </c>
      <c r="H231" t="s">
        <v>14</v>
      </c>
      <c r="I231" t="s">
        <v>25</v>
      </c>
      <c r="J231" s="2">
        <v>290.89999999999998</v>
      </c>
      <c r="K231" s="3">
        <v>45680</v>
      </c>
      <c r="L231" s="3">
        <v>45686</v>
      </c>
      <c r="M231" t="s">
        <v>16</v>
      </c>
      <c r="N231" t="str">
        <f>IF(Table1[[#This Row],[Age]]&lt;25,"&lt; 25",IF(Table1[[#This Row],[Age]]&lt;36,"25-35",IF(Table1[[#This Row],[Age]]&lt;51,"36-50",IF(Table1[[#This Row],[Age]]&lt;66,"51-65",IF(Table1[[#This Row],[Age]]&gt;65,"&gt;65","none")))))</f>
        <v>&gt;65</v>
      </c>
      <c r="O231" t="str">
        <f>IF(AND(Table1[[#This Row],[Smoker]]="Yes",Table1[[#This Row],[Diabetic]]="Yes"),"Yes","No")</f>
        <v>No</v>
      </c>
      <c r="P231" t="str">
        <f>IF(OR(Table1[[#This Row],[Smoker]]="Yes",Table1[[#This Row],[Diabetic]]="Yes"),"Yes","No")</f>
        <v>Yes</v>
      </c>
      <c r="Q231" s="1" t="str">
        <f>IF(OR(Table1[[#This Row],[Systolic]]&gt;125,Table1[[#This Row],[Diastolic]]&gt;90),"High","Normal")</f>
        <v>High</v>
      </c>
      <c r="R231" s="1">
        <f>Table1[[#This Row],[Discharge_Date]]-Table1[[#This Row],[Admission_Date]]</f>
        <v>6</v>
      </c>
      <c r="S231" s="1"/>
    </row>
    <row r="232" spans="1:19" x14ac:dyDescent="0.3">
      <c r="A232" t="s">
        <v>253</v>
      </c>
      <c r="B232">
        <v>41</v>
      </c>
      <c r="C232" t="s">
        <v>18</v>
      </c>
      <c r="D232">
        <v>25.8</v>
      </c>
      <c r="E232">
        <v>170</v>
      </c>
      <c r="F232">
        <v>81</v>
      </c>
      <c r="G232" t="s">
        <v>14</v>
      </c>
      <c r="H232" t="s">
        <v>14</v>
      </c>
      <c r="I232" t="s">
        <v>32</v>
      </c>
      <c r="J232" s="2">
        <v>4015.56</v>
      </c>
      <c r="K232" s="3">
        <v>45642</v>
      </c>
      <c r="L232" s="3">
        <v>45654</v>
      </c>
      <c r="M232" t="s">
        <v>19</v>
      </c>
      <c r="N232" t="str">
        <f>IF(Table1[[#This Row],[Age]]&lt;25,"&lt; 25",IF(Table1[[#This Row],[Age]]&lt;36,"25-35",IF(Table1[[#This Row],[Age]]&lt;51,"36-50",IF(Table1[[#This Row],[Age]]&lt;66,"51-65",IF(Table1[[#This Row],[Age]]&gt;65,"&gt;65","none")))))</f>
        <v>36-50</v>
      </c>
      <c r="O232" t="str">
        <f>IF(AND(Table1[[#This Row],[Smoker]]="Yes",Table1[[#This Row],[Diabetic]]="Yes"),"Yes","No")</f>
        <v>Yes</v>
      </c>
      <c r="P232" t="str">
        <f>IF(OR(Table1[[#This Row],[Smoker]]="Yes",Table1[[#This Row],[Diabetic]]="Yes"),"Yes","No")</f>
        <v>Yes</v>
      </c>
      <c r="Q232" s="1" t="str">
        <f>IF(OR(Table1[[#This Row],[Systolic]]&gt;125,Table1[[#This Row],[Diastolic]]&gt;90),"High","Normal")</f>
        <v>High</v>
      </c>
      <c r="R232" s="1">
        <f>Table1[[#This Row],[Discharge_Date]]-Table1[[#This Row],[Admission_Date]]</f>
        <v>12</v>
      </c>
      <c r="S232" s="1"/>
    </row>
    <row r="233" spans="1:19" x14ac:dyDescent="0.3">
      <c r="A233" t="s">
        <v>254</v>
      </c>
      <c r="B233">
        <v>49</v>
      </c>
      <c r="C233" t="s">
        <v>12</v>
      </c>
      <c r="D233">
        <v>22.6</v>
      </c>
      <c r="E233">
        <v>117</v>
      </c>
      <c r="F233">
        <v>97</v>
      </c>
      <c r="G233" t="s">
        <v>13</v>
      </c>
      <c r="H233" t="s">
        <v>13</v>
      </c>
      <c r="I233" t="s">
        <v>25</v>
      </c>
      <c r="J233" s="2">
        <v>2766.83</v>
      </c>
      <c r="K233" s="3">
        <v>45712</v>
      </c>
      <c r="L233" s="3">
        <v>45722</v>
      </c>
      <c r="M233" t="s">
        <v>16</v>
      </c>
      <c r="N233" t="str">
        <f>IF(Table1[[#This Row],[Age]]&lt;25,"&lt; 25",IF(Table1[[#This Row],[Age]]&lt;36,"25-35",IF(Table1[[#This Row],[Age]]&lt;51,"36-50",IF(Table1[[#This Row],[Age]]&lt;66,"51-65",IF(Table1[[#This Row],[Age]]&gt;65,"&gt;65","none")))))</f>
        <v>36-50</v>
      </c>
      <c r="O233" t="str">
        <f>IF(AND(Table1[[#This Row],[Smoker]]="Yes",Table1[[#This Row],[Diabetic]]="Yes"),"Yes","No")</f>
        <v>No</v>
      </c>
      <c r="P233" t="str">
        <f>IF(OR(Table1[[#This Row],[Smoker]]="Yes",Table1[[#This Row],[Diabetic]]="Yes"),"Yes","No")</f>
        <v>No</v>
      </c>
      <c r="Q233" s="1" t="str">
        <f>IF(OR(Table1[[#This Row],[Systolic]]&gt;125,Table1[[#This Row],[Diastolic]]&gt;90),"High","Normal")</f>
        <v>High</v>
      </c>
      <c r="R233" s="1">
        <f>Table1[[#This Row],[Discharge_Date]]-Table1[[#This Row],[Admission_Date]]</f>
        <v>10</v>
      </c>
      <c r="S233" s="1"/>
    </row>
    <row r="234" spans="1:19" x14ac:dyDescent="0.3">
      <c r="A234" t="s">
        <v>255</v>
      </c>
      <c r="B234">
        <v>84</v>
      </c>
      <c r="C234" t="s">
        <v>12</v>
      </c>
      <c r="D234">
        <v>26.9</v>
      </c>
      <c r="E234">
        <v>137</v>
      </c>
      <c r="F234">
        <v>100</v>
      </c>
      <c r="G234" t="s">
        <v>13</v>
      </c>
      <c r="H234" t="s">
        <v>13</v>
      </c>
      <c r="I234" t="s">
        <v>15</v>
      </c>
      <c r="J234" s="2">
        <v>4453.88</v>
      </c>
      <c r="K234" s="3">
        <v>45626</v>
      </c>
      <c r="L234" s="3">
        <v>45627</v>
      </c>
      <c r="M234" t="s">
        <v>16</v>
      </c>
      <c r="N234" t="str">
        <f>IF(Table1[[#This Row],[Age]]&lt;25,"&lt; 25",IF(Table1[[#This Row],[Age]]&lt;36,"25-35",IF(Table1[[#This Row],[Age]]&lt;51,"36-50",IF(Table1[[#This Row],[Age]]&lt;66,"51-65",IF(Table1[[#This Row],[Age]]&gt;65,"&gt;65","none")))))</f>
        <v>&gt;65</v>
      </c>
      <c r="O234" t="str">
        <f>IF(AND(Table1[[#This Row],[Smoker]]="Yes",Table1[[#This Row],[Diabetic]]="Yes"),"Yes","No")</f>
        <v>No</v>
      </c>
      <c r="P234" t="str">
        <f>IF(OR(Table1[[#This Row],[Smoker]]="Yes",Table1[[#This Row],[Diabetic]]="Yes"),"Yes","No")</f>
        <v>No</v>
      </c>
      <c r="Q234" s="1" t="str">
        <f>IF(OR(Table1[[#This Row],[Systolic]]&gt;125,Table1[[#This Row],[Diastolic]]&gt;90),"High","Normal")</f>
        <v>High</v>
      </c>
      <c r="R234" s="1">
        <f>Table1[[#This Row],[Discharge_Date]]-Table1[[#This Row],[Admission_Date]]</f>
        <v>1</v>
      </c>
      <c r="S234" s="1"/>
    </row>
    <row r="235" spans="1:19" x14ac:dyDescent="0.3">
      <c r="A235" t="s">
        <v>256</v>
      </c>
      <c r="B235">
        <v>70</v>
      </c>
      <c r="C235" t="s">
        <v>18</v>
      </c>
      <c r="D235">
        <v>32.299999999999997</v>
      </c>
      <c r="E235">
        <v>154</v>
      </c>
      <c r="F235">
        <v>114</v>
      </c>
      <c r="G235" t="s">
        <v>13</v>
      </c>
      <c r="H235" t="s">
        <v>14</v>
      </c>
      <c r="I235" t="s">
        <v>25</v>
      </c>
      <c r="J235" s="2">
        <v>447.93</v>
      </c>
      <c r="K235" s="3">
        <v>45757</v>
      </c>
      <c r="L235" s="3">
        <v>45758</v>
      </c>
      <c r="M235" t="s">
        <v>16</v>
      </c>
      <c r="N235" t="str">
        <f>IF(Table1[[#This Row],[Age]]&lt;25,"&lt; 25",IF(Table1[[#This Row],[Age]]&lt;36,"25-35",IF(Table1[[#This Row],[Age]]&lt;51,"36-50",IF(Table1[[#This Row],[Age]]&lt;66,"51-65",IF(Table1[[#This Row],[Age]]&gt;65,"&gt;65","none")))))</f>
        <v>&gt;65</v>
      </c>
      <c r="O235" t="str">
        <f>IF(AND(Table1[[#This Row],[Smoker]]="Yes",Table1[[#This Row],[Diabetic]]="Yes"),"Yes","No")</f>
        <v>No</v>
      </c>
      <c r="P235" t="str">
        <f>IF(OR(Table1[[#This Row],[Smoker]]="Yes",Table1[[#This Row],[Diabetic]]="Yes"),"Yes","No")</f>
        <v>Yes</v>
      </c>
      <c r="Q235" s="1" t="str">
        <f>IF(OR(Table1[[#This Row],[Systolic]]&gt;125,Table1[[#This Row],[Diastolic]]&gt;90),"High","Normal")</f>
        <v>High</v>
      </c>
      <c r="R235" s="1">
        <f>Table1[[#This Row],[Discharge_Date]]-Table1[[#This Row],[Admission_Date]]</f>
        <v>1</v>
      </c>
      <c r="S235" s="1"/>
    </row>
    <row r="236" spans="1:19" x14ac:dyDescent="0.3">
      <c r="A236" t="s">
        <v>257</v>
      </c>
      <c r="B236">
        <v>87</v>
      </c>
      <c r="C236" t="s">
        <v>12</v>
      </c>
      <c r="D236">
        <v>34.9</v>
      </c>
      <c r="E236">
        <v>136</v>
      </c>
      <c r="F236">
        <v>111</v>
      </c>
      <c r="G236" t="s">
        <v>13</v>
      </c>
      <c r="H236" t="s">
        <v>13</v>
      </c>
      <c r="I236" t="s">
        <v>21</v>
      </c>
      <c r="J236" s="2">
        <v>835.34</v>
      </c>
      <c r="K236" s="3">
        <v>45626</v>
      </c>
      <c r="L236" s="3">
        <v>45637</v>
      </c>
      <c r="M236" t="s">
        <v>19</v>
      </c>
      <c r="N236" t="str">
        <f>IF(Table1[[#This Row],[Age]]&lt;25,"&lt; 25",IF(Table1[[#This Row],[Age]]&lt;36,"25-35",IF(Table1[[#This Row],[Age]]&lt;51,"36-50",IF(Table1[[#This Row],[Age]]&lt;66,"51-65",IF(Table1[[#This Row],[Age]]&gt;65,"&gt;65","none")))))</f>
        <v>&gt;65</v>
      </c>
      <c r="O236" t="str">
        <f>IF(AND(Table1[[#This Row],[Smoker]]="Yes",Table1[[#This Row],[Diabetic]]="Yes"),"Yes","No")</f>
        <v>No</v>
      </c>
      <c r="P236" t="str">
        <f>IF(OR(Table1[[#This Row],[Smoker]]="Yes",Table1[[#This Row],[Diabetic]]="Yes"),"Yes","No")</f>
        <v>No</v>
      </c>
      <c r="Q236" s="1" t="str">
        <f>IF(OR(Table1[[#This Row],[Systolic]]&gt;125,Table1[[#This Row],[Diastolic]]&gt;90),"High","Normal")</f>
        <v>High</v>
      </c>
      <c r="R236" s="1">
        <f>Table1[[#This Row],[Discharge_Date]]-Table1[[#This Row],[Admission_Date]]</f>
        <v>11</v>
      </c>
      <c r="S236" s="1"/>
    </row>
    <row r="237" spans="1:19" x14ac:dyDescent="0.3">
      <c r="A237" t="s">
        <v>258</v>
      </c>
      <c r="B237">
        <v>34</v>
      </c>
      <c r="C237" t="s">
        <v>18</v>
      </c>
      <c r="D237">
        <v>27.7</v>
      </c>
      <c r="E237">
        <v>142</v>
      </c>
      <c r="F237">
        <v>94</v>
      </c>
      <c r="G237" t="s">
        <v>14</v>
      </c>
      <c r="H237" t="s">
        <v>14</v>
      </c>
      <c r="I237" t="s">
        <v>25</v>
      </c>
      <c r="J237" s="2">
        <v>2442.31</v>
      </c>
      <c r="K237" s="3">
        <v>45604</v>
      </c>
      <c r="L237" s="3">
        <v>45614</v>
      </c>
      <c r="M237" t="s">
        <v>16</v>
      </c>
      <c r="N237" t="str">
        <f>IF(Table1[[#This Row],[Age]]&lt;25,"&lt; 25",IF(Table1[[#This Row],[Age]]&lt;36,"25-35",IF(Table1[[#This Row],[Age]]&lt;51,"36-50",IF(Table1[[#This Row],[Age]]&lt;66,"51-65",IF(Table1[[#This Row],[Age]]&gt;65,"&gt;65","none")))))</f>
        <v>25-35</v>
      </c>
      <c r="O237" t="str">
        <f>IF(AND(Table1[[#This Row],[Smoker]]="Yes",Table1[[#This Row],[Diabetic]]="Yes"),"Yes","No")</f>
        <v>Yes</v>
      </c>
      <c r="P237" t="str">
        <f>IF(OR(Table1[[#This Row],[Smoker]]="Yes",Table1[[#This Row],[Diabetic]]="Yes"),"Yes","No")</f>
        <v>Yes</v>
      </c>
      <c r="Q237" s="1" t="str">
        <f>IF(OR(Table1[[#This Row],[Systolic]]&gt;125,Table1[[#This Row],[Diastolic]]&gt;90),"High","Normal")</f>
        <v>High</v>
      </c>
      <c r="R237" s="1">
        <f>Table1[[#This Row],[Discharge_Date]]-Table1[[#This Row],[Admission_Date]]</f>
        <v>10</v>
      </c>
      <c r="S237" s="1"/>
    </row>
    <row r="238" spans="1:19" x14ac:dyDescent="0.3">
      <c r="A238" t="s">
        <v>259</v>
      </c>
      <c r="B238">
        <v>25</v>
      </c>
      <c r="C238" t="s">
        <v>12</v>
      </c>
      <c r="D238">
        <v>31.1</v>
      </c>
      <c r="E238">
        <v>153</v>
      </c>
      <c r="F238">
        <v>92</v>
      </c>
      <c r="G238" t="s">
        <v>13</v>
      </c>
      <c r="H238" t="s">
        <v>13</v>
      </c>
      <c r="I238" t="s">
        <v>25</v>
      </c>
      <c r="J238" s="2">
        <v>1392.05</v>
      </c>
      <c r="K238" s="3">
        <v>45596</v>
      </c>
      <c r="L238" s="3">
        <v>45600</v>
      </c>
      <c r="M238" t="s">
        <v>16</v>
      </c>
      <c r="N238" t="str">
        <f>IF(Table1[[#This Row],[Age]]&lt;25,"&lt; 25",IF(Table1[[#This Row],[Age]]&lt;36,"25-35",IF(Table1[[#This Row],[Age]]&lt;51,"36-50",IF(Table1[[#This Row],[Age]]&lt;66,"51-65",IF(Table1[[#This Row],[Age]]&gt;65,"&gt;65","none")))))</f>
        <v>25-35</v>
      </c>
      <c r="O238" t="str">
        <f>IF(AND(Table1[[#This Row],[Smoker]]="Yes",Table1[[#This Row],[Diabetic]]="Yes"),"Yes","No")</f>
        <v>No</v>
      </c>
      <c r="P238" t="str">
        <f>IF(OR(Table1[[#This Row],[Smoker]]="Yes",Table1[[#This Row],[Diabetic]]="Yes"),"Yes","No")</f>
        <v>No</v>
      </c>
      <c r="Q238" s="1" t="str">
        <f>IF(OR(Table1[[#This Row],[Systolic]]&gt;125,Table1[[#This Row],[Diastolic]]&gt;90),"High","Normal")</f>
        <v>High</v>
      </c>
      <c r="R238" s="1">
        <f>Table1[[#This Row],[Discharge_Date]]-Table1[[#This Row],[Admission_Date]]</f>
        <v>4</v>
      </c>
      <c r="S238" s="1"/>
    </row>
    <row r="239" spans="1:19" x14ac:dyDescent="0.3">
      <c r="A239" t="s">
        <v>260</v>
      </c>
      <c r="B239">
        <v>81</v>
      </c>
      <c r="C239" t="s">
        <v>12</v>
      </c>
      <c r="D239">
        <v>20.6</v>
      </c>
      <c r="E239">
        <v>133</v>
      </c>
      <c r="F239">
        <v>67</v>
      </c>
      <c r="G239" t="s">
        <v>14</v>
      </c>
      <c r="H239" t="s">
        <v>14</v>
      </c>
      <c r="I239" t="s">
        <v>15</v>
      </c>
      <c r="J239" s="2">
        <v>2558.83</v>
      </c>
      <c r="K239" s="3">
        <v>45600</v>
      </c>
      <c r="L239" s="3">
        <v>45606</v>
      </c>
      <c r="M239" t="s">
        <v>19</v>
      </c>
      <c r="N239" t="str">
        <f>IF(Table1[[#This Row],[Age]]&lt;25,"&lt; 25",IF(Table1[[#This Row],[Age]]&lt;36,"25-35",IF(Table1[[#This Row],[Age]]&lt;51,"36-50",IF(Table1[[#This Row],[Age]]&lt;66,"51-65",IF(Table1[[#This Row],[Age]]&gt;65,"&gt;65","none")))))</f>
        <v>&gt;65</v>
      </c>
      <c r="O239" t="str">
        <f>IF(AND(Table1[[#This Row],[Smoker]]="Yes",Table1[[#This Row],[Diabetic]]="Yes"),"Yes","No")</f>
        <v>Yes</v>
      </c>
      <c r="P239" t="str">
        <f>IF(OR(Table1[[#This Row],[Smoker]]="Yes",Table1[[#This Row],[Diabetic]]="Yes"),"Yes","No")</f>
        <v>Yes</v>
      </c>
      <c r="Q239" s="1" t="str">
        <f>IF(OR(Table1[[#This Row],[Systolic]]&gt;125,Table1[[#This Row],[Diastolic]]&gt;90),"High","Normal")</f>
        <v>High</v>
      </c>
      <c r="R239" s="1">
        <f>Table1[[#This Row],[Discharge_Date]]-Table1[[#This Row],[Admission_Date]]</f>
        <v>6</v>
      </c>
      <c r="S239" s="1"/>
    </row>
    <row r="240" spans="1:19" x14ac:dyDescent="0.3">
      <c r="A240" t="s">
        <v>261</v>
      </c>
      <c r="B240">
        <v>77</v>
      </c>
      <c r="C240" t="s">
        <v>12</v>
      </c>
      <c r="D240">
        <v>28.6</v>
      </c>
      <c r="E240">
        <v>164</v>
      </c>
      <c r="F240">
        <v>93</v>
      </c>
      <c r="G240" t="s">
        <v>13</v>
      </c>
      <c r="H240" t="s">
        <v>14</v>
      </c>
      <c r="I240" t="s">
        <v>15</v>
      </c>
      <c r="J240" s="2">
        <v>3999.55</v>
      </c>
      <c r="K240" s="3">
        <v>45703</v>
      </c>
      <c r="L240" s="3">
        <v>45712</v>
      </c>
      <c r="M240" t="s">
        <v>23</v>
      </c>
      <c r="N240" t="str">
        <f>IF(Table1[[#This Row],[Age]]&lt;25,"&lt; 25",IF(Table1[[#This Row],[Age]]&lt;36,"25-35",IF(Table1[[#This Row],[Age]]&lt;51,"36-50",IF(Table1[[#This Row],[Age]]&lt;66,"51-65",IF(Table1[[#This Row],[Age]]&gt;65,"&gt;65","none")))))</f>
        <v>&gt;65</v>
      </c>
      <c r="O240" t="str">
        <f>IF(AND(Table1[[#This Row],[Smoker]]="Yes",Table1[[#This Row],[Diabetic]]="Yes"),"Yes","No")</f>
        <v>No</v>
      </c>
      <c r="P240" t="str">
        <f>IF(OR(Table1[[#This Row],[Smoker]]="Yes",Table1[[#This Row],[Diabetic]]="Yes"),"Yes","No")</f>
        <v>Yes</v>
      </c>
      <c r="Q240" s="1" t="str">
        <f>IF(OR(Table1[[#This Row],[Systolic]]&gt;125,Table1[[#This Row],[Diastolic]]&gt;90),"High","Normal")</f>
        <v>High</v>
      </c>
      <c r="R240" s="1">
        <f>Table1[[#This Row],[Discharge_Date]]-Table1[[#This Row],[Admission_Date]]</f>
        <v>9</v>
      </c>
      <c r="S240" s="1"/>
    </row>
    <row r="241" spans="1:19" x14ac:dyDescent="0.3">
      <c r="A241" t="s">
        <v>262</v>
      </c>
      <c r="B241">
        <v>80</v>
      </c>
      <c r="C241" t="s">
        <v>18</v>
      </c>
      <c r="D241">
        <v>28.9</v>
      </c>
      <c r="E241">
        <v>146</v>
      </c>
      <c r="F241">
        <v>70</v>
      </c>
      <c r="G241" t="s">
        <v>13</v>
      </c>
      <c r="H241" t="s">
        <v>13</v>
      </c>
      <c r="I241" t="s">
        <v>21</v>
      </c>
      <c r="J241" s="2">
        <v>1939.9</v>
      </c>
      <c r="K241" s="3">
        <v>45837</v>
      </c>
      <c r="L241" s="3">
        <v>45841</v>
      </c>
      <c r="M241" t="s">
        <v>19</v>
      </c>
      <c r="N241" t="str">
        <f>IF(Table1[[#This Row],[Age]]&lt;25,"&lt; 25",IF(Table1[[#This Row],[Age]]&lt;36,"25-35",IF(Table1[[#This Row],[Age]]&lt;51,"36-50",IF(Table1[[#This Row],[Age]]&lt;66,"51-65",IF(Table1[[#This Row],[Age]]&gt;65,"&gt;65","none")))))</f>
        <v>&gt;65</v>
      </c>
      <c r="O241" t="str">
        <f>IF(AND(Table1[[#This Row],[Smoker]]="Yes",Table1[[#This Row],[Diabetic]]="Yes"),"Yes","No")</f>
        <v>No</v>
      </c>
      <c r="P241" t="str">
        <f>IF(OR(Table1[[#This Row],[Smoker]]="Yes",Table1[[#This Row],[Diabetic]]="Yes"),"Yes","No")</f>
        <v>No</v>
      </c>
      <c r="Q241" s="1" t="str">
        <f>IF(OR(Table1[[#This Row],[Systolic]]&gt;125,Table1[[#This Row],[Diastolic]]&gt;90),"High","Normal")</f>
        <v>High</v>
      </c>
      <c r="R241" s="1">
        <f>Table1[[#This Row],[Discharge_Date]]-Table1[[#This Row],[Admission_Date]]</f>
        <v>4</v>
      </c>
      <c r="S241" s="1"/>
    </row>
    <row r="242" spans="1:19" x14ac:dyDescent="0.3">
      <c r="A242" t="s">
        <v>263</v>
      </c>
      <c r="B242">
        <v>62</v>
      </c>
      <c r="C242" t="s">
        <v>18</v>
      </c>
      <c r="D242">
        <v>26.5</v>
      </c>
      <c r="E242">
        <v>146</v>
      </c>
      <c r="F242">
        <v>67</v>
      </c>
      <c r="G242" t="s">
        <v>13</v>
      </c>
      <c r="H242" t="s">
        <v>14</v>
      </c>
      <c r="I242" t="s">
        <v>21</v>
      </c>
      <c r="J242" s="2">
        <v>4680.66</v>
      </c>
      <c r="K242" s="3">
        <v>45736</v>
      </c>
      <c r="L242" s="3">
        <v>45744</v>
      </c>
      <c r="M242" t="s">
        <v>19</v>
      </c>
      <c r="N242" t="str">
        <f>IF(Table1[[#This Row],[Age]]&lt;25,"&lt; 25",IF(Table1[[#This Row],[Age]]&lt;36,"25-35",IF(Table1[[#This Row],[Age]]&lt;51,"36-50",IF(Table1[[#This Row],[Age]]&lt;66,"51-65",IF(Table1[[#This Row],[Age]]&gt;65,"&gt;65","none")))))</f>
        <v>51-65</v>
      </c>
      <c r="O242" t="str">
        <f>IF(AND(Table1[[#This Row],[Smoker]]="Yes",Table1[[#This Row],[Diabetic]]="Yes"),"Yes","No")</f>
        <v>No</v>
      </c>
      <c r="P242" t="str">
        <f>IF(OR(Table1[[#This Row],[Smoker]]="Yes",Table1[[#This Row],[Diabetic]]="Yes"),"Yes","No")</f>
        <v>Yes</v>
      </c>
      <c r="Q242" s="1" t="str">
        <f>IF(OR(Table1[[#This Row],[Systolic]]&gt;125,Table1[[#This Row],[Diastolic]]&gt;90),"High","Normal")</f>
        <v>High</v>
      </c>
      <c r="R242" s="1">
        <f>Table1[[#This Row],[Discharge_Date]]-Table1[[#This Row],[Admission_Date]]</f>
        <v>8</v>
      </c>
      <c r="S242" s="1"/>
    </row>
    <row r="243" spans="1:19" x14ac:dyDescent="0.3">
      <c r="A243" t="s">
        <v>264</v>
      </c>
      <c r="B243">
        <v>45</v>
      </c>
      <c r="C243" t="s">
        <v>12</v>
      </c>
      <c r="D243">
        <v>25.1</v>
      </c>
      <c r="E243">
        <v>120</v>
      </c>
      <c r="F243">
        <v>106</v>
      </c>
      <c r="G243" t="s">
        <v>13</v>
      </c>
      <c r="H243" t="s">
        <v>14</v>
      </c>
      <c r="I243" t="s">
        <v>21</v>
      </c>
      <c r="J243" s="2">
        <v>3639.08</v>
      </c>
      <c r="K243" s="3">
        <v>45730</v>
      </c>
      <c r="L243" s="3">
        <v>45736</v>
      </c>
      <c r="M243" t="s">
        <v>16</v>
      </c>
      <c r="N243" t="str">
        <f>IF(Table1[[#This Row],[Age]]&lt;25,"&lt; 25",IF(Table1[[#This Row],[Age]]&lt;36,"25-35",IF(Table1[[#This Row],[Age]]&lt;51,"36-50",IF(Table1[[#This Row],[Age]]&lt;66,"51-65",IF(Table1[[#This Row],[Age]]&gt;65,"&gt;65","none")))))</f>
        <v>36-50</v>
      </c>
      <c r="O243" t="str">
        <f>IF(AND(Table1[[#This Row],[Smoker]]="Yes",Table1[[#This Row],[Diabetic]]="Yes"),"Yes","No")</f>
        <v>No</v>
      </c>
      <c r="P243" t="str">
        <f>IF(OR(Table1[[#This Row],[Smoker]]="Yes",Table1[[#This Row],[Diabetic]]="Yes"),"Yes","No")</f>
        <v>Yes</v>
      </c>
      <c r="Q243" s="1" t="str">
        <f>IF(OR(Table1[[#This Row],[Systolic]]&gt;125,Table1[[#This Row],[Diastolic]]&gt;90),"High","Normal")</f>
        <v>High</v>
      </c>
      <c r="R243" s="1">
        <f>Table1[[#This Row],[Discharge_Date]]-Table1[[#This Row],[Admission_Date]]</f>
        <v>6</v>
      </c>
      <c r="S243" s="1"/>
    </row>
    <row r="244" spans="1:19" x14ac:dyDescent="0.3">
      <c r="A244" t="s">
        <v>265</v>
      </c>
      <c r="B244">
        <v>67</v>
      </c>
      <c r="C244" t="s">
        <v>12</v>
      </c>
      <c r="D244">
        <v>29.1</v>
      </c>
      <c r="E244">
        <v>167</v>
      </c>
      <c r="F244">
        <v>107</v>
      </c>
      <c r="G244" t="s">
        <v>14</v>
      </c>
      <c r="H244" t="s">
        <v>13</v>
      </c>
      <c r="I244" t="s">
        <v>15</v>
      </c>
      <c r="J244" s="2">
        <v>173.64</v>
      </c>
      <c r="K244" s="3">
        <v>45928</v>
      </c>
      <c r="L244" s="3">
        <v>45931</v>
      </c>
      <c r="M244" t="s">
        <v>19</v>
      </c>
      <c r="N244" t="str">
        <f>IF(Table1[[#This Row],[Age]]&lt;25,"&lt; 25",IF(Table1[[#This Row],[Age]]&lt;36,"25-35",IF(Table1[[#This Row],[Age]]&lt;51,"36-50",IF(Table1[[#This Row],[Age]]&lt;66,"51-65",IF(Table1[[#This Row],[Age]]&gt;65,"&gt;65","none")))))</f>
        <v>&gt;65</v>
      </c>
      <c r="O244" t="str">
        <f>IF(AND(Table1[[#This Row],[Smoker]]="Yes",Table1[[#This Row],[Diabetic]]="Yes"),"Yes","No")</f>
        <v>No</v>
      </c>
      <c r="P244" t="str">
        <f>IF(OR(Table1[[#This Row],[Smoker]]="Yes",Table1[[#This Row],[Diabetic]]="Yes"),"Yes","No")</f>
        <v>Yes</v>
      </c>
      <c r="Q244" s="1" t="str">
        <f>IF(OR(Table1[[#This Row],[Systolic]]&gt;125,Table1[[#This Row],[Diastolic]]&gt;90),"High","Normal")</f>
        <v>High</v>
      </c>
      <c r="R244" s="1">
        <f>Table1[[#This Row],[Discharge_Date]]-Table1[[#This Row],[Admission_Date]]</f>
        <v>3</v>
      </c>
      <c r="S244" s="1"/>
    </row>
    <row r="245" spans="1:19" x14ac:dyDescent="0.3">
      <c r="A245" t="s">
        <v>266</v>
      </c>
      <c r="B245">
        <v>18</v>
      </c>
      <c r="C245" t="s">
        <v>12</v>
      </c>
      <c r="D245">
        <v>23</v>
      </c>
      <c r="E245">
        <v>120</v>
      </c>
      <c r="F245">
        <v>115</v>
      </c>
      <c r="G245" t="s">
        <v>14</v>
      </c>
      <c r="H245" t="s">
        <v>13</v>
      </c>
      <c r="I245" t="s">
        <v>15</v>
      </c>
      <c r="J245" s="2">
        <v>2108.12</v>
      </c>
      <c r="K245" s="3">
        <v>45700</v>
      </c>
      <c r="L245" s="3">
        <v>45712</v>
      </c>
      <c r="M245" t="s">
        <v>16</v>
      </c>
      <c r="N245" t="str">
        <f>IF(Table1[[#This Row],[Age]]&lt;25,"&lt; 25",IF(Table1[[#This Row],[Age]]&lt;36,"25-35",IF(Table1[[#This Row],[Age]]&lt;51,"36-50",IF(Table1[[#This Row],[Age]]&lt;66,"51-65",IF(Table1[[#This Row],[Age]]&gt;65,"&gt;65","none")))))</f>
        <v>&lt; 25</v>
      </c>
      <c r="O245" t="str">
        <f>IF(AND(Table1[[#This Row],[Smoker]]="Yes",Table1[[#This Row],[Diabetic]]="Yes"),"Yes","No")</f>
        <v>No</v>
      </c>
      <c r="P245" t="str">
        <f>IF(OR(Table1[[#This Row],[Smoker]]="Yes",Table1[[#This Row],[Diabetic]]="Yes"),"Yes","No")</f>
        <v>Yes</v>
      </c>
      <c r="Q245" s="1" t="str">
        <f>IF(OR(Table1[[#This Row],[Systolic]]&gt;125,Table1[[#This Row],[Diastolic]]&gt;90),"High","Normal")</f>
        <v>High</v>
      </c>
      <c r="R245" s="1">
        <f>Table1[[#This Row],[Discharge_Date]]-Table1[[#This Row],[Admission_Date]]</f>
        <v>12</v>
      </c>
      <c r="S245" s="1"/>
    </row>
    <row r="246" spans="1:19" x14ac:dyDescent="0.3">
      <c r="A246" t="s">
        <v>267</v>
      </c>
      <c r="B246">
        <v>57</v>
      </c>
      <c r="C246" t="s">
        <v>18</v>
      </c>
      <c r="D246">
        <v>29.1</v>
      </c>
      <c r="E246">
        <v>134</v>
      </c>
      <c r="F246">
        <v>84</v>
      </c>
      <c r="G246" t="s">
        <v>14</v>
      </c>
      <c r="H246" t="s">
        <v>13</v>
      </c>
      <c r="I246" t="s">
        <v>21</v>
      </c>
      <c r="J246" s="2">
        <v>4292.91</v>
      </c>
      <c r="K246" s="3">
        <v>45797</v>
      </c>
      <c r="L246" s="3">
        <v>45806</v>
      </c>
      <c r="M246" t="s">
        <v>23</v>
      </c>
      <c r="N246" t="str">
        <f>IF(Table1[[#This Row],[Age]]&lt;25,"&lt; 25",IF(Table1[[#This Row],[Age]]&lt;36,"25-35",IF(Table1[[#This Row],[Age]]&lt;51,"36-50",IF(Table1[[#This Row],[Age]]&lt;66,"51-65",IF(Table1[[#This Row],[Age]]&gt;65,"&gt;65","none")))))</f>
        <v>51-65</v>
      </c>
      <c r="O246" t="str">
        <f>IF(AND(Table1[[#This Row],[Smoker]]="Yes",Table1[[#This Row],[Diabetic]]="Yes"),"Yes","No")</f>
        <v>No</v>
      </c>
      <c r="P246" t="str">
        <f>IF(OR(Table1[[#This Row],[Smoker]]="Yes",Table1[[#This Row],[Diabetic]]="Yes"),"Yes","No")</f>
        <v>Yes</v>
      </c>
      <c r="Q246" s="1" t="str">
        <f>IF(OR(Table1[[#This Row],[Systolic]]&gt;125,Table1[[#This Row],[Diastolic]]&gt;90),"High","Normal")</f>
        <v>High</v>
      </c>
      <c r="R246" s="1">
        <f>Table1[[#This Row],[Discharge_Date]]-Table1[[#This Row],[Admission_Date]]</f>
        <v>9</v>
      </c>
      <c r="S246" s="1"/>
    </row>
    <row r="247" spans="1:19" x14ac:dyDescent="0.3">
      <c r="A247" t="s">
        <v>268</v>
      </c>
      <c r="B247">
        <v>35</v>
      </c>
      <c r="C247" t="s">
        <v>18</v>
      </c>
      <c r="D247">
        <v>22.6</v>
      </c>
      <c r="E247">
        <v>120</v>
      </c>
      <c r="F247">
        <v>63</v>
      </c>
      <c r="G247" t="s">
        <v>13</v>
      </c>
      <c r="H247" t="s">
        <v>13</v>
      </c>
      <c r="I247" t="s">
        <v>15</v>
      </c>
      <c r="J247" s="2">
        <v>4173.25</v>
      </c>
      <c r="K247" s="3">
        <v>45774</v>
      </c>
      <c r="L247" s="3">
        <v>45785</v>
      </c>
      <c r="M247" t="s">
        <v>16</v>
      </c>
      <c r="N247" t="str">
        <f>IF(Table1[[#This Row],[Age]]&lt;25,"&lt; 25",IF(Table1[[#This Row],[Age]]&lt;36,"25-35",IF(Table1[[#This Row],[Age]]&lt;51,"36-50",IF(Table1[[#This Row],[Age]]&lt;66,"51-65",IF(Table1[[#This Row],[Age]]&gt;65,"&gt;65","none")))))</f>
        <v>25-35</v>
      </c>
      <c r="O247" t="str">
        <f>IF(AND(Table1[[#This Row],[Smoker]]="Yes",Table1[[#This Row],[Diabetic]]="Yes"),"Yes","No")</f>
        <v>No</v>
      </c>
      <c r="P247" t="str">
        <f>IF(OR(Table1[[#This Row],[Smoker]]="Yes",Table1[[#This Row],[Diabetic]]="Yes"),"Yes","No")</f>
        <v>No</v>
      </c>
      <c r="Q247" s="1" t="str">
        <f>IF(OR(Table1[[#This Row],[Systolic]]&gt;125,Table1[[#This Row],[Diastolic]]&gt;90),"High","Normal")</f>
        <v>Normal</v>
      </c>
      <c r="R247" s="1">
        <f>Table1[[#This Row],[Discharge_Date]]-Table1[[#This Row],[Admission_Date]]</f>
        <v>11</v>
      </c>
      <c r="S247" s="1"/>
    </row>
    <row r="248" spans="1:19" x14ac:dyDescent="0.3">
      <c r="A248" t="s">
        <v>269</v>
      </c>
      <c r="B248">
        <v>61</v>
      </c>
      <c r="C248" t="s">
        <v>18</v>
      </c>
      <c r="D248">
        <v>21.8</v>
      </c>
      <c r="E248">
        <v>137</v>
      </c>
      <c r="F248">
        <v>109</v>
      </c>
      <c r="G248" t="s">
        <v>14</v>
      </c>
      <c r="H248" t="s">
        <v>14</v>
      </c>
      <c r="I248" t="s">
        <v>15</v>
      </c>
      <c r="J248" s="2">
        <v>1422.86</v>
      </c>
      <c r="K248" s="3">
        <v>45590</v>
      </c>
      <c r="L248" s="3">
        <v>45603</v>
      </c>
      <c r="M248" t="s">
        <v>16</v>
      </c>
      <c r="N248" t="str">
        <f>IF(Table1[[#This Row],[Age]]&lt;25,"&lt; 25",IF(Table1[[#This Row],[Age]]&lt;36,"25-35",IF(Table1[[#This Row],[Age]]&lt;51,"36-50",IF(Table1[[#This Row],[Age]]&lt;66,"51-65",IF(Table1[[#This Row],[Age]]&gt;65,"&gt;65","none")))))</f>
        <v>51-65</v>
      </c>
      <c r="O248" t="str">
        <f>IF(AND(Table1[[#This Row],[Smoker]]="Yes",Table1[[#This Row],[Diabetic]]="Yes"),"Yes","No")</f>
        <v>Yes</v>
      </c>
      <c r="P248" t="str">
        <f>IF(OR(Table1[[#This Row],[Smoker]]="Yes",Table1[[#This Row],[Diabetic]]="Yes"),"Yes","No")</f>
        <v>Yes</v>
      </c>
      <c r="Q248" s="1" t="str">
        <f>IF(OR(Table1[[#This Row],[Systolic]]&gt;125,Table1[[#This Row],[Diastolic]]&gt;90),"High","Normal")</f>
        <v>High</v>
      </c>
      <c r="R248" s="1">
        <f>Table1[[#This Row],[Discharge_Date]]-Table1[[#This Row],[Admission_Date]]</f>
        <v>13</v>
      </c>
      <c r="S248" s="1"/>
    </row>
    <row r="249" spans="1:19" x14ac:dyDescent="0.3">
      <c r="A249" t="s">
        <v>270</v>
      </c>
      <c r="B249">
        <v>19</v>
      </c>
      <c r="C249" t="s">
        <v>12</v>
      </c>
      <c r="D249">
        <v>20.100000000000001</v>
      </c>
      <c r="E249">
        <v>101</v>
      </c>
      <c r="F249">
        <v>98</v>
      </c>
      <c r="G249" t="s">
        <v>14</v>
      </c>
      <c r="H249" t="s">
        <v>14</v>
      </c>
      <c r="I249" t="s">
        <v>25</v>
      </c>
      <c r="J249" s="2">
        <v>1545.5</v>
      </c>
      <c r="K249" s="3">
        <v>45860</v>
      </c>
      <c r="L249" s="3">
        <v>45872</v>
      </c>
      <c r="M249" t="s">
        <v>23</v>
      </c>
      <c r="N249" t="str">
        <f>IF(Table1[[#This Row],[Age]]&lt;25,"&lt; 25",IF(Table1[[#This Row],[Age]]&lt;36,"25-35",IF(Table1[[#This Row],[Age]]&lt;51,"36-50",IF(Table1[[#This Row],[Age]]&lt;66,"51-65",IF(Table1[[#This Row],[Age]]&gt;65,"&gt;65","none")))))</f>
        <v>&lt; 25</v>
      </c>
      <c r="O249" t="str">
        <f>IF(AND(Table1[[#This Row],[Smoker]]="Yes",Table1[[#This Row],[Diabetic]]="Yes"),"Yes","No")</f>
        <v>Yes</v>
      </c>
      <c r="P249" t="str">
        <f>IF(OR(Table1[[#This Row],[Smoker]]="Yes",Table1[[#This Row],[Diabetic]]="Yes"),"Yes","No")</f>
        <v>Yes</v>
      </c>
      <c r="Q249" s="1" t="str">
        <f>IF(OR(Table1[[#This Row],[Systolic]]&gt;125,Table1[[#This Row],[Diastolic]]&gt;90),"High","Normal")</f>
        <v>High</v>
      </c>
      <c r="R249" s="1">
        <f>Table1[[#This Row],[Discharge_Date]]-Table1[[#This Row],[Admission_Date]]</f>
        <v>12</v>
      </c>
      <c r="S249" s="1"/>
    </row>
    <row r="250" spans="1:19" x14ac:dyDescent="0.3">
      <c r="A250" t="s">
        <v>271</v>
      </c>
      <c r="B250">
        <v>54</v>
      </c>
      <c r="C250" t="s">
        <v>18</v>
      </c>
      <c r="D250">
        <v>20.399999999999999</v>
      </c>
      <c r="E250">
        <v>95</v>
      </c>
      <c r="F250">
        <v>79</v>
      </c>
      <c r="G250" t="s">
        <v>13</v>
      </c>
      <c r="H250" t="s">
        <v>14</v>
      </c>
      <c r="I250" t="s">
        <v>34</v>
      </c>
      <c r="J250" s="2">
        <v>1213.96</v>
      </c>
      <c r="K250" s="3">
        <v>45799</v>
      </c>
      <c r="L250" s="3">
        <v>45805</v>
      </c>
      <c r="M250" t="s">
        <v>23</v>
      </c>
      <c r="N250" t="str">
        <f>IF(Table1[[#This Row],[Age]]&lt;25,"&lt; 25",IF(Table1[[#This Row],[Age]]&lt;36,"25-35",IF(Table1[[#This Row],[Age]]&lt;51,"36-50",IF(Table1[[#This Row],[Age]]&lt;66,"51-65",IF(Table1[[#This Row],[Age]]&gt;65,"&gt;65","none")))))</f>
        <v>51-65</v>
      </c>
      <c r="O250" t="str">
        <f>IF(AND(Table1[[#This Row],[Smoker]]="Yes",Table1[[#This Row],[Diabetic]]="Yes"),"Yes","No")</f>
        <v>No</v>
      </c>
      <c r="P250" t="str">
        <f>IF(OR(Table1[[#This Row],[Smoker]]="Yes",Table1[[#This Row],[Diabetic]]="Yes"),"Yes","No")</f>
        <v>Yes</v>
      </c>
      <c r="Q250" s="1" t="str">
        <f>IF(OR(Table1[[#This Row],[Systolic]]&gt;125,Table1[[#This Row],[Diastolic]]&gt;90),"High","Normal")</f>
        <v>Normal</v>
      </c>
      <c r="R250" s="1">
        <f>Table1[[#This Row],[Discharge_Date]]-Table1[[#This Row],[Admission_Date]]</f>
        <v>6</v>
      </c>
      <c r="S250" s="1"/>
    </row>
    <row r="251" spans="1:19" x14ac:dyDescent="0.3">
      <c r="A251" t="s">
        <v>272</v>
      </c>
      <c r="B251">
        <v>24</v>
      </c>
      <c r="C251" t="s">
        <v>12</v>
      </c>
      <c r="D251">
        <v>20.9</v>
      </c>
      <c r="E251">
        <v>90</v>
      </c>
      <c r="F251">
        <v>98</v>
      </c>
      <c r="G251" t="s">
        <v>14</v>
      </c>
      <c r="H251" t="s">
        <v>14</v>
      </c>
      <c r="I251" t="s">
        <v>21</v>
      </c>
      <c r="J251" s="2">
        <v>2094.36</v>
      </c>
      <c r="K251" s="3">
        <v>45871</v>
      </c>
      <c r="L251" s="3">
        <v>45882</v>
      </c>
      <c r="M251" t="s">
        <v>19</v>
      </c>
      <c r="N251" t="str">
        <f>IF(Table1[[#This Row],[Age]]&lt;25,"&lt; 25",IF(Table1[[#This Row],[Age]]&lt;36,"25-35",IF(Table1[[#This Row],[Age]]&lt;51,"36-50",IF(Table1[[#This Row],[Age]]&lt;66,"51-65",IF(Table1[[#This Row],[Age]]&gt;65,"&gt;65","none")))))</f>
        <v>&lt; 25</v>
      </c>
      <c r="O251" t="str">
        <f>IF(AND(Table1[[#This Row],[Smoker]]="Yes",Table1[[#This Row],[Diabetic]]="Yes"),"Yes","No")</f>
        <v>Yes</v>
      </c>
      <c r="P251" t="str">
        <f>IF(OR(Table1[[#This Row],[Smoker]]="Yes",Table1[[#This Row],[Diabetic]]="Yes"),"Yes","No")</f>
        <v>Yes</v>
      </c>
      <c r="Q251" s="1" t="str">
        <f>IF(OR(Table1[[#This Row],[Systolic]]&gt;125,Table1[[#This Row],[Diastolic]]&gt;90),"High","Normal")</f>
        <v>High</v>
      </c>
      <c r="R251" s="1">
        <f>Table1[[#This Row],[Discharge_Date]]-Table1[[#This Row],[Admission_Date]]</f>
        <v>11</v>
      </c>
      <c r="S251" s="1"/>
    </row>
    <row r="252" spans="1:19" x14ac:dyDescent="0.3">
      <c r="A252" t="s">
        <v>273</v>
      </c>
      <c r="B252">
        <v>41</v>
      </c>
      <c r="C252" t="s">
        <v>18</v>
      </c>
      <c r="D252">
        <v>27.8</v>
      </c>
      <c r="E252">
        <v>134</v>
      </c>
      <c r="F252">
        <v>61</v>
      </c>
      <c r="G252" t="s">
        <v>13</v>
      </c>
      <c r="H252" t="s">
        <v>13</v>
      </c>
      <c r="I252" t="s">
        <v>32</v>
      </c>
      <c r="J252" s="2">
        <v>3853.25</v>
      </c>
      <c r="K252" s="3">
        <v>45625</v>
      </c>
      <c r="L252" s="3">
        <v>45638</v>
      </c>
      <c r="M252" t="s">
        <v>23</v>
      </c>
      <c r="N252" t="str">
        <f>IF(Table1[[#This Row],[Age]]&lt;25,"&lt; 25",IF(Table1[[#This Row],[Age]]&lt;36,"25-35",IF(Table1[[#This Row],[Age]]&lt;51,"36-50",IF(Table1[[#This Row],[Age]]&lt;66,"51-65",IF(Table1[[#This Row],[Age]]&gt;65,"&gt;65","none")))))</f>
        <v>36-50</v>
      </c>
      <c r="O252" t="str">
        <f>IF(AND(Table1[[#This Row],[Smoker]]="Yes",Table1[[#This Row],[Diabetic]]="Yes"),"Yes","No")</f>
        <v>No</v>
      </c>
      <c r="P252" t="str">
        <f>IF(OR(Table1[[#This Row],[Smoker]]="Yes",Table1[[#This Row],[Diabetic]]="Yes"),"Yes","No")</f>
        <v>No</v>
      </c>
      <c r="Q252" s="1" t="str">
        <f>IF(OR(Table1[[#This Row],[Systolic]]&gt;125,Table1[[#This Row],[Diastolic]]&gt;90),"High","Normal")</f>
        <v>High</v>
      </c>
      <c r="R252" s="1">
        <f>Table1[[#This Row],[Discharge_Date]]-Table1[[#This Row],[Admission_Date]]</f>
        <v>13</v>
      </c>
      <c r="S252" s="1"/>
    </row>
    <row r="253" spans="1:19" x14ac:dyDescent="0.3">
      <c r="A253" t="s">
        <v>274</v>
      </c>
      <c r="B253">
        <v>57</v>
      </c>
      <c r="C253" t="s">
        <v>12</v>
      </c>
      <c r="D253">
        <v>37</v>
      </c>
      <c r="E253">
        <v>169</v>
      </c>
      <c r="F253">
        <v>60</v>
      </c>
      <c r="G253" t="s">
        <v>13</v>
      </c>
      <c r="H253" t="s">
        <v>13</v>
      </c>
      <c r="I253" t="s">
        <v>32</v>
      </c>
      <c r="J253" s="2">
        <v>2644.7</v>
      </c>
      <c r="K253" s="3">
        <v>45612</v>
      </c>
      <c r="L253" s="3">
        <v>45618</v>
      </c>
      <c r="M253" t="s">
        <v>16</v>
      </c>
      <c r="N253" t="str">
        <f>IF(Table1[[#This Row],[Age]]&lt;25,"&lt; 25",IF(Table1[[#This Row],[Age]]&lt;36,"25-35",IF(Table1[[#This Row],[Age]]&lt;51,"36-50",IF(Table1[[#This Row],[Age]]&lt;66,"51-65",IF(Table1[[#This Row],[Age]]&gt;65,"&gt;65","none")))))</f>
        <v>51-65</v>
      </c>
      <c r="O253" t="str">
        <f>IF(AND(Table1[[#This Row],[Smoker]]="Yes",Table1[[#This Row],[Diabetic]]="Yes"),"Yes","No")</f>
        <v>No</v>
      </c>
      <c r="P253" t="str">
        <f>IF(OR(Table1[[#This Row],[Smoker]]="Yes",Table1[[#This Row],[Diabetic]]="Yes"),"Yes","No")</f>
        <v>No</v>
      </c>
      <c r="Q253" s="1" t="str">
        <f>IF(OR(Table1[[#This Row],[Systolic]]&gt;125,Table1[[#This Row],[Diastolic]]&gt;90),"High","Normal")</f>
        <v>High</v>
      </c>
      <c r="R253" s="1">
        <f>Table1[[#This Row],[Discharge_Date]]-Table1[[#This Row],[Admission_Date]]</f>
        <v>6</v>
      </c>
      <c r="S253" s="1"/>
    </row>
    <row r="254" spans="1:19" x14ac:dyDescent="0.3">
      <c r="A254" t="s">
        <v>275</v>
      </c>
      <c r="B254">
        <v>38</v>
      </c>
      <c r="C254" t="s">
        <v>18</v>
      </c>
      <c r="D254">
        <v>38.799999999999997</v>
      </c>
      <c r="E254">
        <v>124</v>
      </c>
      <c r="F254">
        <v>111</v>
      </c>
      <c r="G254" t="s">
        <v>14</v>
      </c>
      <c r="H254" t="s">
        <v>13</v>
      </c>
      <c r="I254" t="s">
        <v>34</v>
      </c>
      <c r="J254" s="2">
        <v>221.74</v>
      </c>
      <c r="K254" s="3">
        <v>45790</v>
      </c>
      <c r="L254" s="3">
        <v>45795</v>
      </c>
      <c r="M254" t="s">
        <v>19</v>
      </c>
      <c r="N254" t="str">
        <f>IF(Table1[[#This Row],[Age]]&lt;25,"&lt; 25",IF(Table1[[#This Row],[Age]]&lt;36,"25-35",IF(Table1[[#This Row],[Age]]&lt;51,"36-50",IF(Table1[[#This Row],[Age]]&lt;66,"51-65",IF(Table1[[#This Row],[Age]]&gt;65,"&gt;65","none")))))</f>
        <v>36-50</v>
      </c>
      <c r="O254" t="str">
        <f>IF(AND(Table1[[#This Row],[Smoker]]="Yes",Table1[[#This Row],[Diabetic]]="Yes"),"Yes","No")</f>
        <v>No</v>
      </c>
      <c r="P254" t="str">
        <f>IF(OR(Table1[[#This Row],[Smoker]]="Yes",Table1[[#This Row],[Diabetic]]="Yes"),"Yes","No")</f>
        <v>Yes</v>
      </c>
      <c r="Q254" s="1" t="str">
        <f>IF(OR(Table1[[#This Row],[Systolic]]&gt;125,Table1[[#This Row],[Diastolic]]&gt;90),"High","Normal")</f>
        <v>High</v>
      </c>
      <c r="R254" s="1">
        <f>Table1[[#This Row],[Discharge_Date]]-Table1[[#This Row],[Admission_Date]]</f>
        <v>5</v>
      </c>
      <c r="S254" s="1"/>
    </row>
    <row r="255" spans="1:19" x14ac:dyDescent="0.3">
      <c r="A255" t="s">
        <v>276</v>
      </c>
      <c r="B255">
        <v>53</v>
      </c>
      <c r="C255" t="s">
        <v>18</v>
      </c>
      <c r="D255">
        <v>37.700000000000003</v>
      </c>
      <c r="E255">
        <v>99</v>
      </c>
      <c r="F255">
        <v>65</v>
      </c>
      <c r="G255" t="s">
        <v>14</v>
      </c>
      <c r="H255" t="s">
        <v>14</v>
      </c>
      <c r="I255" t="s">
        <v>34</v>
      </c>
      <c r="J255" s="2">
        <v>3573.28</v>
      </c>
      <c r="K255" s="3">
        <v>45719</v>
      </c>
      <c r="L255" s="3">
        <v>45732</v>
      </c>
      <c r="M255" t="s">
        <v>19</v>
      </c>
      <c r="N255" t="str">
        <f>IF(Table1[[#This Row],[Age]]&lt;25,"&lt; 25",IF(Table1[[#This Row],[Age]]&lt;36,"25-35",IF(Table1[[#This Row],[Age]]&lt;51,"36-50",IF(Table1[[#This Row],[Age]]&lt;66,"51-65",IF(Table1[[#This Row],[Age]]&gt;65,"&gt;65","none")))))</f>
        <v>51-65</v>
      </c>
      <c r="O255" t="str">
        <f>IF(AND(Table1[[#This Row],[Smoker]]="Yes",Table1[[#This Row],[Diabetic]]="Yes"),"Yes","No")</f>
        <v>Yes</v>
      </c>
      <c r="P255" t="str">
        <f>IF(OR(Table1[[#This Row],[Smoker]]="Yes",Table1[[#This Row],[Diabetic]]="Yes"),"Yes","No")</f>
        <v>Yes</v>
      </c>
      <c r="Q255" s="1" t="str">
        <f>IF(OR(Table1[[#This Row],[Systolic]]&gt;125,Table1[[#This Row],[Diastolic]]&gt;90),"High","Normal")</f>
        <v>Normal</v>
      </c>
      <c r="R255" s="1">
        <f>Table1[[#This Row],[Discharge_Date]]-Table1[[#This Row],[Admission_Date]]</f>
        <v>13</v>
      </c>
      <c r="S255" s="1"/>
    </row>
    <row r="256" spans="1:19" x14ac:dyDescent="0.3">
      <c r="A256" t="s">
        <v>277</v>
      </c>
      <c r="B256">
        <v>70</v>
      </c>
      <c r="C256" t="s">
        <v>12</v>
      </c>
      <c r="D256">
        <v>24.2</v>
      </c>
      <c r="E256">
        <v>91</v>
      </c>
      <c r="F256">
        <v>73</v>
      </c>
      <c r="G256" t="s">
        <v>13</v>
      </c>
      <c r="H256" t="s">
        <v>13</v>
      </c>
      <c r="I256" t="s">
        <v>34</v>
      </c>
      <c r="J256" s="2">
        <v>1776.72</v>
      </c>
      <c r="K256" s="3">
        <v>45917</v>
      </c>
      <c r="L256" s="3">
        <v>45921</v>
      </c>
      <c r="M256" t="s">
        <v>19</v>
      </c>
      <c r="N256" t="str">
        <f>IF(Table1[[#This Row],[Age]]&lt;25,"&lt; 25",IF(Table1[[#This Row],[Age]]&lt;36,"25-35",IF(Table1[[#This Row],[Age]]&lt;51,"36-50",IF(Table1[[#This Row],[Age]]&lt;66,"51-65",IF(Table1[[#This Row],[Age]]&gt;65,"&gt;65","none")))))</f>
        <v>&gt;65</v>
      </c>
      <c r="O256" t="str">
        <f>IF(AND(Table1[[#This Row],[Smoker]]="Yes",Table1[[#This Row],[Diabetic]]="Yes"),"Yes","No")</f>
        <v>No</v>
      </c>
      <c r="P256" t="str">
        <f>IF(OR(Table1[[#This Row],[Smoker]]="Yes",Table1[[#This Row],[Diabetic]]="Yes"),"Yes","No")</f>
        <v>No</v>
      </c>
      <c r="Q256" s="1" t="str">
        <f>IF(OR(Table1[[#This Row],[Systolic]]&gt;125,Table1[[#This Row],[Diastolic]]&gt;90),"High","Normal")</f>
        <v>Normal</v>
      </c>
      <c r="R256" s="1">
        <f>Table1[[#This Row],[Discharge_Date]]-Table1[[#This Row],[Admission_Date]]</f>
        <v>4</v>
      </c>
      <c r="S256" s="1"/>
    </row>
    <row r="257" spans="1:19" x14ac:dyDescent="0.3">
      <c r="A257" t="s">
        <v>278</v>
      </c>
      <c r="B257">
        <v>64</v>
      </c>
      <c r="C257" t="s">
        <v>18</v>
      </c>
      <c r="D257">
        <v>30.4</v>
      </c>
      <c r="E257">
        <v>126</v>
      </c>
      <c r="F257">
        <v>100</v>
      </c>
      <c r="G257" t="s">
        <v>14</v>
      </c>
      <c r="H257" t="s">
        <v>14</v>
      </c>
      <c r="I257" t="s">
        <v>15</v>
      </c>
      <c r="J257" s="2">
        <v>251.76</v>
      </c>
      <c r="K257" s="3">
        <v>45862</v>
      </c>
      <c r="L257" s="3">
        <v>45867</v>
      </c>
      <c r="M257" t="s">
        <v>23</v>
      </c>
      <c r="N257" t="str">
        <f>IF(Table1[[#This Row],[Age]]&lt;25,"&lt; 25",IF(Table1[[#This Row],[Age]]&lt;36,"25-35",IF(Table1[[#This Row],[Age]]&lt;51,"36-50",IF(Table1[[#This Row],[Age]]&lt;66,"51-65",IF(Table1[[#This Row],[Age]]&gt;65,"&gt;65","none")))))</f>
        <v>51-65</v>
      </c>
      <c r="O257" t="str">
        <f>IF(AND(Table1[[#This Row],[Smoker]]="Yes",Table1[[#This Row],[Diabetic]]="Yes"),"Yes","No")</f>
        <v>Yes</v>
      </c>
      <c r="P257" t="str">
        <f>IF(OR(Table1[[#This Row],[Smoker]]="Yes",Table1[[#This Row],[Diabetic]]="Yes"),"Yes","No")</f>
        <v>Yes</v>
      </c>
      <c r="Q257" s="1" t="str">
        <f>IF(OR(Table1[[#This Row],[Systolic]]&gt;125,Table1[[#This Row],[Diastolic]]&gt;90),"High","Normal")</f>
        <v>High</v>
      </c>
      <c r="R257" s="1">
        <f>Table1[[#This Row],[Discharge_Date]]-Table1[[#This Row],[Admission_Date]]</f>
        <v>5</v>
      </c>
      <c r="S257" s="1"/>
    </row>
    <row r="258" spans="1:19" x14ac:dyDescent="0.3">
      <c r="A258" t="s">
        <v>279</v>
      </c>
      <c r="B258">
        <v>79</v>
      </c>
      <c r="C258" t="s">
        <v>12</v>
      </c>
      <c r="D258">
        <v>22.5</v>
      </c>
      <c r="E258">
        <v>132</v>
      </c>
      <c r="F258">
        <v>103</v>
      </c>
      <c r="G258" t="s">
        <v>13</v>
      </c>
      <c r="H258" t="s">
        <v>14</v>
      </c>
      <c r="I258" t="s">
        <v>34</v>
      </c>
      <c r="J258" s="2">
        <v>2225.5100000000002</v>
      </c>
      <c r="K258" s="3">
        <v>45763</v>
      </c>
      <c r="L258" s="3">
        <v>45764</v>
      </c>
      <c r="M258" t="s">
        <v>16</v>
      </c>
      <c r="N258" t="str">
        <f>IF(Table1[[#This Row],[Age]]&lt;25,"&lt; 25",IF(Table1[[#This Row],[Age]]&lt;36,"25-35",IF(Table1[[#This Row],[Age]]&lt;51,"36-50",IF(Table1[[#This Row],[Age]]&lt;66,"51-65",IF(Table1[[#This Row],[Age]]&gt;65,"&gt;65","none")))))</f>
        <v>&gt;65</v>
      </c>
      <c r="O258" t="str">
        <f>IF(AND(Table1[[#This Row],[Smoker]]="Yes",Table1[[#This Row],[Diabetic]]="Yes"),"Yes","No")</f>
        <v>No</v>
      </c>
      <c r="P258" t="str">
        <f>IF(OR(Table1[[#This Row],[Smoker]]="Yes",Table1[[#This Row],[Diabetic]]="Yes"),"Yes","No")</f>
        <v>Yes</v>
      </c>
      <c r="Q258" s="1" t="str">
        <f>IF(OR(Table1[[#This Row],[Systolic]]&gt;125,Table1[[#This Row],[Diastolic]]&gt;90),"High","Normal")</f>
        <v>High</v>
      </c>
      <c r="R258" s="1">
        <f>Table1[[#This Row],[Discharge_Date]]-Table1[[#This Row],[Admission_Date]]</f>
        <v>1</v>
      </c>
      <c r="S258" s="1"/>
    </row>
    <row r="259" spans="1:19" x14ac:dyDescent="0.3">
      <c r="A259" t="s">
        <v>280</v>
      </c>
      <c r="B259">
        <v>73</v>
      </c>
      <c r="C259" t="s">
        <v>18</v>
      </c>
      <c r="D259">
        <v>19.5</v>
      </c>
      <c r="E259">
        <v>98</v>
      </c>
      <c r="F259">
        <v>110</v>
      </c>
      <c r="G259" t="s">
        <v>14</v>
      </c>
      <c r="H259" t="s">
        <v>13</v>
      </c>
      <c r="I259" t="s">
        <v>21</v>
      </c>
      <c r="J259" s="2">
        <v>808.01</v>
      </c>
      <c r="K259" s="3">
        <v>45740</v>
      </c>
      <c r="L259" s="3">
        <v>45744</v>
      </c>
      <c r="M259" t="s">
        <v>19</v>
      </c>
      <c r="N259" t="str">
        <f>IF(Table1[[#This Row],[Age]]&lt;25,"&lt; 25",IF(Table1[[#This Row],[Age]]&lt;36,"25-35",IF(Table1[[#This Row],[Age]]&lt;51,"36-50",IF(Table1[[#This Row],[Age]]&lt;66,"51-65",IF(Table1[[#This Row],[Age]]&gt;65,"&gt;65","none")))))</f>
        <v>&gt;65</v>
      </c>
      <c r="O259" t="str">
        <f>IF(AND(Table1[[#This Row],[Smoker]]="Yes",Table1[[#This Row],[Diabetic]]="Yes"),"Yes","No")</f>
        <v>No</v>
      </c>
      <c r="P259" t="str">
        <f>IF(OR(Table1[[#This Row],[Smoker]]="Yes",Table1[[#This Row],[Diabetic]]="Yes"),"Yes","No")</f>
        <v>Yes</v>
      </c>
      <c r="Q259" s="1" t="str">
        <f>IF(OR(Table1[[#This Row],[Systolic]]&gt;125,Table1[[#This Row],[Diastolic]]&gt;90),"High","Normal")</f>
        <v>High</v>
      </c>
      <c r="R259" s="1">
        <f>Table1[[#This Row],[Discharge_Date]]-Table1[[#This Row],[Admission_Date]]</f>
        <v>4</v>
      </c>
      <c r="S259" s="1"/>
    </row>
    <row r="260" spans="1:19" x14ac:dyDescent="0.3">
      <c r="A260" t="s">
        <v>281</v>
      </c>
      <c r="B260">
        <v>50</v>
      </c>
      <c r="C260" t="s">
        <v>18</v>
      </c>
      <c r="D260">
        <v>22.5</v>
      </c>
      <c r="E260">
        <v>132</v>
      </c>
      <c r="F260">
        <v>76</v>
      </c>
      <c r="G260" t="s">
        <v>13</v>
      </c>
      <c r="H260" t="s">
        <v>14</v>
      </c>
      <c r="I260" t="s">
        <v>34</v>
      </c>
      <c r="J260" s="2">
        <v>2771.98</v>
      </c>
      <c r="K260" s="3">
        <v>45933</v>
      </c>
      <c r="L260" s="3">
        <v>45942</v>
      </c>
      <c r="M260" t="s">
        <v>23</v>
      </c>
      <c r="N260" t="str">
        <f>IF(Table1[[#This Row],[Age]]&lt;25,"&lt; 25",IF(Table1[[#This Row],[Age]]&lt;36,"25-35",IF(Table1[[#This Row],[Age]]&lt;51,"36-50",IF(Table1[[#This Row],[Age]]&lt;66,"51-65",IF(Table1[[#This Row],[Age]]&gt;65,"&gt;65","none")))))</f>
        <v>36-50</v>
      </c>
      <c r="O260" t="str">
        <f>IF(AND(Table1[[#This Row],[Smoker]]="Yes",Table1[[#This Row],[Diabetic]]="Yes"),"Yes","No")</f>
        <v>No</v>
      </c>
      <c r="P260" t="str">
        <f>IF(OR(Table1[[#This Row],[Smoker]]="Yes",Table1[[#This Row],[Diabetic]]="Yes"),"Yes","No")</f>
        <v>Yes</v>
      </c>
      <c r="Q260" s="1" t="str">
        <f>IF(OR(Table1[[#This Row],[Systolic]]&gt;125,Table1[[#This Row],[Diastolic]]&gt;90),"High","Normal")</f>
        <v>High</v>
      </c>
      <c r="R260" s="1">
        <f>Table1[[#This Row],[Discharge_Date]]-Table1[[#This Row],[Admission_Date]]</f>
        <v>9</v>
      </c>
      <c r="S260" s="1"/>
    </row>
    <row r="261" spans="1:19" x14ac:dyDescent="0.3">
      <c r="A261" t="s">
        <v>282</v>
      </c>
      <c r="B261">
        <v>32</v>
      </c>
      <c r="C261" t="s">
        <v>18</v>
      </c>
      <c r="D261">
        <v>25.7</v>
      </c>
      <c r="E261">
        <v>130</v>
      </c>
      <c r="F261">
        <v>81</v>
      </c>
      <c r="G261" t="s">
        <v>13</v>
      </c>
      <c r="H261" t="s">
        <v>14</v>
      </c>
      <c r="I261" t="s">
        <v>32</v>
      </c>
      <c r="J261" s="2">
        <v>2201.21</v>
      </c>
      <c r="K261" s="3">
        <v>45790</v>
      </c>
      <c r="L261" s="3">
        <v>45798</v>
      </c>
      <c r="M261" t="s">
        <v>19</v>
      </c>
      <c r="N261" t="str">
        <f>IF(Table1[[#This Row],[Age]]&lt;25,"&lt; 25",IF(Table1[[#This Row],[Age]]&lt;36,"25-35",IF(Table1[[#This Row],[Age]]&lt;51,"36-50",IF(Table1[[#This Row],[Age]]&lt;66,"51-65",IF(Table1[[#This Row],[Age]]&gt;65,"&gt;65","none")))))</f>
        <v>25-35</v>
      </c>
      <c r="O261" t="str">
        <f>IF(AND(Table1[[#This Row],[Smoker]]="Yes",Table1[[#This Row],[Diabetic]]="Yes"),"Yes","No")</f>
        <v>No</v>
      </c>
      <c r="P261" t="str">
        <f>IF(OR(Table1[[#This Row],[Smoker]]="Yes",Table1[[#This Row],[Diabetic]]="Yes"),"Yes","No")</f>
        <v>Yes</v>
      </c>
      <c r="Q261" s="1" t="str">
        <f>IF(OR(Table1[[#This Row],[Systolic]]&gt;125,Table1[[#This Row],[Diastolic]]&gt;90),"High","Normal")</f>
        <v>High</v>
      </c>
      <c r="R261" s="1">
        <f>Table1[[#This Row],[Discharge_Date]]-Table1[[#This Row],[Admission_Date]]</f>
        <v>8</v>
      </c>
      <c r="S261" s="1"/>
    </row>
    <row r="262" spans="1:19" x14ac:dyDescent="0.3">
      <c r="A262" t="s">
        <v>283</v>
      </c>
      <c r="B262">
        <v>45</v>
      </c>
      <c r="C262" t="s">
        <v>18</v>
      </c>
      <c r="D262">
        <v>39.6</v>
      </c>
      <c r="E262">
        <v>134</v>
      </c>
      <c r="F262">
        <v>114</v>
      </c>
      <c r="G262" t="s">
        <v>14</v>
      </c>
      <c r="H262" t="s">
        <v>13</v>
      </c>
      <c r="I262" t="s">
        <v>21</v>
      </c>
      <c r="J262" s="2">
        <v>1408.84</v>
      </c>
      <c r="K262" s="3">
        <v>45681</v>
      </c>
      <c r="L262" s="3">
        <v>45684</v>
      </c>
      <c r="M262" t="s">
        <v>19</v>
      </c>
      <c r="N262" t="str">
        <f>IF(Table1[[#This Row],[Age]]&lt;25,"&lt; 25",IF(Table1[[#This Row],[Age]]&lt;36,"25-35",IF(Table1[[#This Row],[Age]]&lt;51,"36-50",IF(Table1[[#This Row],[Age]]&lt;66,"51-65",IF(Table1[[#This Row],[Age]]&gt;65,"&gt;65","none")))))</f>
        <v>36-50</v>
      </c>
      <c r="O262" t="str">
        <f>IF(AND(Table1[[#This Row],[Smoker]]="Yes",Table1[[#This Row],[Diabetic]]="Yes"),"Yes","No")</f>
        <v>No</v>
      </c>
      <c r="P262" t="str">
        <f>IF(OR(Table1[[#This Row],[Smoker]]="Yes",Table1[[#This Row],[Diabetic]]="Yes"),"Yes","No")</f>
        <v>Yes</v>
      </c>
      <c r="Q262" s="1" t="str">
        <f>IF(OR(Table1[[#This Row],[Systolic]]&gt;125,Table1[[#This Row],[Diastolic]]&gt;90),"High","Normal")</f>
        <v>High</v>
      </c>
      <c r="R262" s="1">
        <f>Table1[[#This Row],[Discharge_Date]]-Table1[[#This Row],[Admission_Date]]</f>
        <v>3</v>
      </c>
      <c r="S262" s="1"/>
    </row>
    <row r="263" spans="1:19" x14ac:dyDescent="0.3">
      <c r="A263" t="s">
        <v>284</v>
      </c>
      <c r="B263">
        <v>66</v>
      </c>
      <c r="C263" t="s">
        <v>12</v>
      </c>
      <c r="D263">
        <v>36.200000000000003</v>
      </c>
      <c r="E263">
        <v>99</v>
      </c>
      <c r="F263">
        <v>103</v>
      </c>
      <c r="G263" t="s">
        <v>13</v>
      </c>
      <c r="H263" t="s">
        <v>14</v>
      </c>
      <c r="I263" t="s">
        <v>25</v>
      </c>
      <c r="J263" s="2">
        <v>2583.6</v>
      </c>
      <c r="K263" s="3">
        <v>45644</v>
      </c>
      <c r="L263" s="3">
        <v>45653</v>
      </c>
      <c r="M263" t="s">
        <v>23</v>
      </c>
      <c r="N263" t="str">
        <f>IF(Table1[[#This Row],[Age]]&lt;25,"&lt; 25",IF(Table1[[#This Row],[Age]]&lt;36,"25-35",IF(Table1[[#This Row],[Age]]&lt;51,"36-50",IF(Table1[[#This Row],[Age]]&lt;66,"51-65",IF(Table1[[#This Row],[Age]]&gt;65,"&gt;65","none")))))</f>
        <v>&gt;65</v>
      </c>
      <c r="O263" t="str">
        <f>IF(AND(Table1[[#This Row],[Smoker]]="Yes",Table1[[#This Row],[Diabetic]]="Yes"),"Yes","No")</f>
        <v>No</v>
      </c>
      <c r="P263" t="str">
        <f>IF(OR(Table1[[#This Row],[Smoker]]="Yes",Table1[[#This Row],[Diabetic]]="Yes"),"Yes","No")</f>
        <v>Yes</v>
      </c>
      <c r="Q263" s="1" t="str">
        <f>IF(OR(Table1[[#This Row],[Systolic]]&gt;125,Table1[[#This Row],[Diastolic]]&gt;90),"High","Normal")</f>
        <v>High</v>
      </c>
      <c r="R263" s="1">
        <f>Table1[[#This Row],[Discharge_Date]]-Table1[[#This Row],[Admission_Date]]</f>
        <v>9</v>
      </c>
      <c r="S263" s="1"/>
    </row>
    <row r="264" spans="1:19" x14ac:dyDescent="0.3">
      <c r="A264" t="s">
        <v>285</v>
      </c>
      <c r="B264">
        <v>78</v>
      </c>
      <c r="C264" t="s">
        <v>12</v>
      </c>
      <c r="D264">
        <v>23.9</v>
      </c>
      <c r="E264">
        <v>131</v>
      </c>
      <c r="F264">
        <v>93</v>
      </c>
      <c r="G264" t="s">
        <v>13</v>
      </c>
      <c r="H264" t="s">
        <v>14</v>
      </c>
      <c r="I264" t="s">
        <v>25</v>
      </c>
      <c r="J264" s="2">
        <v>3907.12</v>
      </c>
      <c r="K264" s="3">
        <v>45589</v>
      </c>
      <c r="L264" s="3">
        <v>45593</v>
      </c>
      <c r="M264" t="s">
        <v>16</v>
      </c>
      <c r="N264" t="str">
        <f>IF(Table1[[#This Row],[Age]]&lt;25,"&lt; 25",IF(Table1[[#This Row],[Age]]&lt;36,"25-35",IF(Table1[[#This Row],[Age]]&lt;51,"36-50",IF(Table1[[#This Row],[Age]]&lt;66,"51-65",IF(Table1[[#This Row],[Age]]&gt;65,"&gt;65","none")))))</f>
        <v>&gt;65</v>
      </c>
      <c r="O264" t="str">
        <f>IF(AND(Table1[[#This Row],[Smoker]]="Yes",Table1[[#This Row],[Diabetic]]="Yes"),"Yes","No")</f>
        <v>No</v>
      </c>
      <c r="P264" t="str">
        <f>IF(OR(Table1[[#This Row],[Smoker]]="Yes",Table1[[#This Row],[Diabetic]]="Yes"),"Yes","No")</f>
        <v>Yes</v>
      </c>
      <c r="Q264" s="1" t="str">
        <f>IF(OR(Table1[[#This Row],[Systolic]]&gt;125,Table1[[#This Row],[Diastolic]]&gt;90),"High","Normal")</f>
        <v>High</v>
      </c>
      <c r="R264" s="1">
        <f>Table1[[#This Row],[Discharge_Date]]-Table1[[#This Row],[Admission_Date]]</f>
        <v>4</v>
      </c>
      <c r="S264" s="1"/>
    </row>
    <row r="265" spans="1:19" x14ac:dyDescent="0.3">
      <c r="A265" t="s">
        <v>286</v>
      </c>
      <c r="B265">
        <v>76</v>
      </c>
      <c r="C265" t="s">
        <v>18</v>
      </c>
      <c r="D265">
        <v>33.1</v>
      </c>
      <c r="E265">
        <v>100</v>
      </c>
      <c r="F265">
        <v>88</v>
      </c>
      <c r="G265" t="s">
        <v>13</v>
      </c>
      <c r="H265" t="s">
        <v>13</v>
      </c>
      <c r="I265" t="s">
        <v>32</v>
      </c>
      <c r="J265" s="2">
        <v>2622.16</v>
      </c>
      <c r="K265" s="3">
        <v>45633</v>
      </c>
      <c r="L265" s="3">
        <v>45641</v>
      </c>
      <c r="M265" t="s">
        <v>19</v>
      </c>
      <c r="N265" t="str">
        <f>IF(Table1[[#This Row],[Age]]&lt;25,"&lt; 25",IF(Table1[[#This Row],[Age]]&lt;36,"25-35",IF(Table1[[#This Row],[Age]]&lt;51,"36-50",IF(Table1[[#This Row],[Age]]&lt;66,"51-65",IF(Table1[[#This Row],[Age]]&gt;65,"&gt;65","none")))))</f>
        <v>&gt;65</v>
      </c>
      <c r="O265" t="str">
        <f>IF(AND(Table1[[#This Row],[Smoker]]="Yes",Table1[[#This Row],[Diabetic]]="Yes"),"Yes","No")</f>
        <v>No</v>
      </c>
      <c r="P265" t="str">
        <f>IF(OR(Table1[[#This Row],[Smoker]]="Yes",Table1[[#This Row],[Diabetic]]="Yes"),"Yes","No")</f>
        <v>No</v>
      </c>
      <c r="Q265" s="1" t="str">
        <f>IF(OR(Table1[[#This Row],[Systolic]]&gt;125,Table1[[#This Row],[Diastolic]]&gt;90),"High","Normal")</f>
        <v>Normal</v>
      </c>
      <c r="R265" s="1">
        <f>Table1[[#This Row],[Discharge_Date]]-Table1[[#This Row],[Admission_Date]]</f>
        <v>8</v>
      </c>
      <c r="S265" s="1"/>
    </row>
    <row r="266" spans="1:19" x14ac:dyDescent="0.3">
      <c r="A266" t="s">
        <v>287</v>
      </c>
      <c r="B266">
        <v>45</v>
      </c>
      <c r="C266" t="s">
        <v>18</v>
      </c>
      <c r="D266">
        <v>18.399999999999999</v>
      </c>
      <c r="E266">
        <v>123</v>
      </c>
      <c r="F266">
        <v>65</v>
      </c>
      <c r="G266" t="s">
        <v>13</v>
      </c>
      <c r="H266" t="s">
        <v>13</v>
      </c>
      <c r="I266" t="s">
        <v>32</v>
      </c>
      <c r="J266" s="2">
        <v>1621.33</v>
      </c>
      <c r="K266" s="3">
        <v>45669</v>
      </c>
      <c r="L266" s="3">
        <v>45676</v>
      </c>
      <c r="M266" t="s">
        <v>16</v>
      </c>
      <c r="N266" t="str">
        <f>IF(Table1[[#This Row],[Age]]&lt;25,"&lt; 25",IF(Table1[[#This Row],[Age]]&lt;36,"25-35",IF(Table1[[#This Row],[Age]]&lt;51,"36-50",IF(Table1[[#This Row],[Age]]&lt;66,"51-65",IF(Table1[[#This Row],[Age]]&gt;65,"&gt;65","none")))))</f>
        <v>36-50</v>
      </c>
      <c r="O266" t="str">
        <f>IF(AND(Table1[[#This Row],[Smoker]]="Yes",Table1[[#This Row],[Diabetic]]="Yes"),"Yes","No")</f>
        <v>No</v>
      </c>
      <c r="P266" t="str">
        <f>IF(OR(Table1[[#This Row],[Smoker]]="Yes",Table1[[#This Row],[Diabetic]]="Yes"),"Yes","No")</f>
        <v>No</v>
      </c>
      <c r="Q266" s="1" t="str">
        <f>IF(OR(Table1[[#This Row],[Systolic]]&gt;125,Table1[[#This Row],[Diastolic]]&gt;90),"High","Normal")</f>
        <v>Normal</v>
      </c>
      <c r="R266" s="1">
        <f>Table1[[#This Row],[Discharge_Date]]-Table1[[#This Row],[Admission_Date]]</f>
        <v>7</v>
      </c>
      <c r="S266" s="1"/>
    </row>
    <row r="267" spans="1:19" x14ac:dyDescent="0.3">
      <c r="A267" t="s">
        <v>288</v>
      </c>
      <c r="B267">
        <v>83</v>
      </c>
      <c r="C267" t="s">
        <v>12</v>
      </c>
      <c r="D267">
        <v>34.799999999999997</v>
      </c>
      <c r="E267">
        <v>101</v>
      </c>
      <c r="F267">
        <v>106</v>
      </c>
      <c r="G267" t="s">
        <v>14</v>
      </c>
      <c r="H267" t="s">
        <v>13</v>
      </c>
      <c r="I267" t="s">
        <v>34</v>
      </c>
      <c r="J267" s="2">
        <v>1520.12</v>
      </c>
      <c r="K267" s="3">
        <v>45694</v>
      </c>
      <c r="L267" s="3">
        <v>45702</v>
      </c>
      <c r="M267" t="s">
        <v>19</v>
      </c>
      <c r="N267" t="str">
        <f>IF(Table1[[#This Row],[Age]]&lt;25,"&lt; 25",IF(Table1[[#This Row],[Age]]&lt;36,"25-35",IF(Table1[[#This Row],[Age]]&lt;51,"36-50",IF(Table1[[#This Row],[Age]]&lt;66,"51-65",IF(Table1[[#This Row],[Age]]&gt;65,"&gt;65","none")))))</f>
        <v>&gt;65</v>
      </c>
      <c r="O267" t="str">
        <f>IF(AND(Table1[[#This Row],[Smoker]]="Yes",Table1[[#This Row],[Diabetic]]="Yes"),"Yes","No")</f>
        <v>No</v>
      </c>
      <c r="P267" t="str">
        <f>IF(OR(Table1[[#This Row],[Smoker]]="Yes",Table1[[#This Row],[Diabetic]]="Yes"),"Yes","No")</f>
        <v>Yes</v>
      </c>
      <c r="Q267" s="1" t="str">
        <f>IF(OR(Table1[[#This Row],[Systolic]]&gt;125,Table1[[#This Row],[Diastolic]]&gt;90),"High","Normal")</f>
        <v>High</v>
      </c>
      <c r="R267" s="1">
        <f>Table1[[#This Row],[Discharge_Date]]-Table1[[#This Row],[Admission_Date]]</f>
        <v>8</v>
      </c>
      <c r="S267" s="1"/>
    </row>
    <row r="268" spans="1:19" x14ac:dyDescent="0.3">
      <c r="A268" t="s">
        <v>289</v>
      </c>
      <c r="B268">
        <v>73</v>
      </c>
      <c r="C268" t="s">
        <v>18</v>
      </c>
      <c r="D268">
        <v>28.9</v>
      </c>
      <c r="E268">
        <v>170</v>
      </c>
      <c r="F268">
        <v>111</v>
      </c>
      <c r="G268" t="s">
        <v>13</v>
      </c>
      <c r="H268" t="s">
        <v>14</v>
      </c>
      <c r="I268" t="s">
        <v>34</v>
      </c>
      <c r="J268" s="2">
        <v>3583.22</v>
      </c>
      <c r="K268" s="3">
        <v>45648</v>
      </c>
      <c r="L268" s="3">
        <v>45656</v>
      </c>
      <c r="M268" t="s">
        <v>19</v>
      </c>
      <c r="N268" t="str">
        <f>IF(Table1[[#This Row],[Age]]&lt;25,"&lt; 25",IF(Table1[[#This Row],[Age]]&lt;36,"25-35",IF(Table1[[#This Row],[Age]]&lt;51,"36-50",IF(Table1[[#This Row],[Age]]&lt;66,"51-65",IF(Table1[[#This Row],[Age]]&gt;65,"&gt;65","none")))))</f>
        <v>&gt;65</v>
      </c>
      <c r="O268" t="str">
        <f>IF(AND(Table1[[#This Row],[Smoker]]="Yes",Table1[[#This Row],[Diabetic]]="Yes"),"Yes","No")</f>
        <v>No</v>
      </c>
      <c r="P268" t="str">
        <f>IF(OR(Table1[[#This Row],[Smoker]]="Yes",Table1[[#This Row],[Diabetic]]="Yes"),"Yes","No")</f>
        <v>Yes</v>
      </c>
      <c r="Q268" s="1" t="str">
        <f>IF(OR(Table1[[#This Row],[Systolic]]&gt;125,Table1[[#This Row],[Diastolic]]&gt;90),"High","Normal")</f>
        <v>High</v>
      </c>
      <c r="R268" s="1">
        <f>Table1[[#This Row],[Discharge_Date]]-Table1[[#This Row],[Admission_Date]]</f>
        <v>8</v>
      </c>
      <c r="S268" s="1"/>
    </row>
    <row r="269" spans="1:19" x14ac:dyDescent="0.3">
      <c r="A269" t="s">
        <v>290</v>
      </c>
      <c r="B269">
        <v>56</v>
      </c>
      <c r="C269" t="s">
        <v>12</v>
      </c>
      <c r="D269">
        <v>25.7</v>
      </c>
      <c r="E269">
        <v>116</v>
      </c>
      <c r="F269">
        <v>64</v>
      </c>
      <c r="G269" t="s">
        <v>14</v>
      </c>
      <c r="H269" t="s">
        <v>13</v>
      </c>
      <c r="I269" t="s">
        <v>32</v>
      </c>
      <c r="J269" s="2">
        <v>3725.46</v>
      </c>
      <c r="K269" s="3">
        <v>45625</v>
      </c>
      <c r="L269" s="3">
        <v>45633</v>
      </c>
      <c r="M269" t="s">
        <v>16</v>
      </c>
      <c r="N269" t="str">
        <f>IF(Table1[[#This Row],[Age]]&lt;25,"&lt; 25",IF(Table1[[#This Row],[Age]]&lt;36,"25-35",IF(Table1[[#This Row],[Age]]&lt;51,"36-50",IF(Table1[[#This Row],[Age]]&lt;66,"51-65",IF(Table1[[#This Row],[Age]]&gt;65,"&gt;65","none")))))</f>
        <v>51-65</v>
      </c>
      <c r="O269" t="str">
        <f>IF(AND(Table1[[#This Row],[Smoker]]="Yes",Table1[[#This Row],[Diabetic]]="Yes"),"Yes","No")</f>
        <v>No</v>
      </c>
      <c r="P269" t="str">
        <f>IF(OR(Table1[[#This Row],[Smoker]]="Yes",Table1[[#This Row],[Diabetic]]="Yes"),"Yes","No")</f>
        <v>Yes</v>
      </c>
      <c r="Q269" s="1" t="str">
        <f>IF(OR(Table1[[#This Row],[Systolic]]&gt;125,Table1[[#This Row],[Diastolic]]&gt;90),"High","Normal")</f>
        <v>Normal</v>
      </c>
      <c r="R269" s="1">
        <f>Table1[[#This Row],[Discharge_Date]]-Table1[[#This Row],[Admission_Date]]</f>
        <v>8</v>
      </c>
      <c r="S269" s="1"/>
    </row>
    <row r="270" spans="1:19" x14ac:dyDescent="0.3">
      <c r="A270" t="s">
        <v>291</v>
      </c>
      <c r="B270">
        <v>21</v>
      </c>
      <c r="C270" t="s">
        <v>18</v>
      </c>
      <c r="D270">
        <v>34.700000000000003</v>
      </c>
      <c r="E270">
        <v>147</v>
      </c>
      <c r="F270">
        <v>115</v>
      </c>
      <c r="G270" t="s">
        <v>13</v>
      </c>
      <c r="H270" t="s">
        <v>14</v>
      </c>
      <c r="I270" t="s">
        <v>21</v>
      </c>
      <c r="J270" s="2">
        <v>461.21</v>
      </c>
      <c r="K270" s="3">
        <v>45830</v>
      </c>
      <c r="L270" s="3">
        <v>45832</v>
      </c>
      <c r="M270" t="s">
        <v>19</v>
      </c>
      <c r="N270" t="str">
        <f>IF(Table1[[#This Row],[Age]]&lt;25,"&lt; 25",IF(Table1[[#This Row],[Age]]&lt;36,"25-35",IF(Table1[[#This Row],[Age]]&lt;51,"36-50",IF(Table1[[#This Row],[Age]]&lt;66,"51-65",IF(Table1[[#This Row],[Age]]&gt;65,"&gt;65","none")))))</f>
        <v>&lt; 25</v>
      </c>
      <c r="O270" t="str">
        <f>IF(AND(Table1[[#This Row],[Smoker]]="Yes",Table1[[#This Row],[Diabetic]]="Yes"),"Yes","No")</f>
        <v>No</v>
      </c>
      <c r="P270" t="str">
        <f>IF(OR(Table1[[#This Row],[Smoker]]="Yes",Table1[[#This Row],[Diabetic]]="Yes"),"Yes","No")</f>
        <v>Yes</v>
      </c>
      <c r="Q270" s="1" t="str">
        <f>IF(OR(Table1[[#This Row],[Systolic]]&gt;125,Table1[[#This Row],[Diastolic]]&gt;90),"High","Normal")</f>
        <v>High</v>
      </c>
      <c r="R270" s="1">
        <f>Table1[[#This Row],[Discharge_Date]]-Table1[[#This Row],[Admission_Date]]</f>
        <v>2</v>
      </c>
      <c r="S270" s="1"/>
    </row>
    <row r="271" spans="1:19" x14ac:dyDescent="0.3">
      <c r="A271" t="s">
        <v>292</v>
      </c>
      <c r="B271">
        <v>53</v>
      </c>
      <c r="C271" t="s">
        <v>12</v>
      </c>
      <c r="D271">
        <v>21.5</v>
      </c>
      <c r="E271">
        <v>91</v>
      </c>
      <c r="F271">
        <v>109</v>
      </c>
      <c r="G271" t="s">
        <v>14</v>
      </c>
      <c r="H271" t="s">
        <v>14</v>
      </c>
      <c r="I271" t="s">
        <v>21</v>
      </c>
      <c r="J271" s="2">
        <v>4779.09</v>
      </c>
      <c r="K271" s="3">
        <v>45877</v>
      </c>
      <c r="L271" s="3">
        <v>45879</v>
      </c>
      <c r="M271" t="s">
        <v>16</v>
      </c>
      <c r="N271" t="str">
        <f>IF(Table1[[#This Row],[Age]]&lt;25,"&lt; 25",IF(Table1[[#This Row],[Age]]&lt;36,"25-35",IF(Table1[[#This Row],[Age]]&lt;51,"36-50",IF(Table1[[#This Row],[Age]]&lt;66,"51-65",IF(Table1[[#This Row],[Age]]&gt;65,"&gt;65","none")))))</f>
        <v>51-65</v>
      </c>
      <c r="O271" t="str">
        <f>IF(AND(Table1[[#This Row],[Smoker]]="Yes",Table1[[#This Row],[Diabetic]]="Yes"),"Yes","No")</f>
        <v>Yes</v>
      </c>
      <c r="P271" t="str">
        <f>IF(OR(Table1[[#This Row],[Smoker]]="Yes",Table1[[#This Row],[Diabetic]]="Yes"),"Yes","No")</f>
        <v>Yes</v>
      </c>
      <c r="Q271" s="1" t="str">
        <f>IF(OR(Table1[[#This Row],[Systolic]]&gt;125,Table1[[#This Row],[Diastolic]]&gt;90),"High","Normal")</f>
        <v>High</v>
      </c>
      <c r="R271" s="1">
        <f>Table1[[#This Row],[Discharge_Date]]-Table1[[#This Row],[Admission_Date]]</f>
        <v>2</v>
      </c>
      <c r="S271" s="1"/>
    </row>
    <row r="272" spans="1:19" x14ac:dyDescent="0.3">
      <c r="A272" t="s">
        <v>293</v>
      </c>
      <c r="B272">
        <v>77</v>
      </c>
      <c r="C272" t="s">
        <v>18</v>
      </c>
      <c r="D272">
        <v>23.5</v>
      </c>
      <c r="E272">
        <v>178</v>
      </c>
      <c r="F272">
        <v>109</v>
      </c>
      <c r="G272" t="s">
        <v>14</v>
      </c>
      <c r="H272" t="s">
        <v>13</v>
      </c>
      <c r="I272" t="s">
        <v>15</v>
      </c>
      <c r="J272" s="2">
        <v>3419.19</v>
      </c>
      <c r="K272" s="3">
        <v>45860</v>
      </c>
      <c r="L272" s="3">
        <v>45867</v>
      </c>
      <c r="M272" t="s">
        <v>23</v>
      </c>
      <c r="N272" t="str">
        <f>IF(Table1[[#This Row],[Age]]&lt;25,"&lt; 25",IF(Table1[[#This Row],[Age]]&lt;36,"25-35",IF(Table1[[#This Row],[Age]]&lt;51,"36-50",IF(Table1[[#This Row],[Age]]&lt;66,"51-65",IF(Table1[[#This Row],[Age]]&gt;65,"&gt;65","none")))))</f>
        <v>&gt;65</v>
      </c>
      <c r="O272" t="str">
        <f>IF(AND(Table1[[#This Row],[Smoker]]="Yes",Table1[[#This Row],[Diabetic]]="Yes"),"Yes","No")</f>
        <v>No</v>
      </c>
      <c r="P272" t="str">
        <f>IF(OR(Table1[[#This Row],[Smoker]]="Yes",Table1[[#This Row],[Diabetic]]="Yes"),"Yes","No")</f>
        <v>Yes</v>
      </c>
      <c r="Q272" s="1" t="str">
        <f>IF(OR(Table1[[#This Row],[Systolic]]&gt;125,Table1[[#This Row],[Diastolic]]&gt;90),"High","Normal")</f>
        <v>High</v>
      </c>
      <c r="R272" s="1">
        <f>Table1[[#This Row],[Discharge_Date]]-Table1[[#This Row],[Admission_Date]]</f>
        <v>7</v>
      </c>
      <c r="S272" s="1"/>
    </row>
    <row r="273" spans="1:19" x14ac:dyDescent="0.3">
      <c r="A273" t="s">
        <v>294</v>
      </c>
      <c r="B273">
        <v>52</v>
      </c>
      <c r="C273" t="s">
        <v>12</v>
      </c>
      <c r="D273">
        <v>26.7</v>
      </c>
      <c r="E273">
        <v>176</v>
      </c>
      <c r="F273">
        <v>70</v>
      </c>
      <c r="G273" t="s">
        <v>14</v>
      </c>
      <c r="H273" t="s">
        <v>13</v>
      </c>
      <c r="I273" t="s">
        <v>21</v>
      </c>
      <c r="J273" s="2">
        <v>2301.9</v>
      </c>
      <c r="K273" s="3">
        <v>45814</v>
      </c>
      <c r="L273" s="3">
        <v>45816</v>
      </c>
      <c r="M273" t="s">
        <v>16</v>
      </c>
      <c r="N273" t="str">
        <f>IF(Table1[[#This Row],[Age]]&lt;25,"&lt; 25",IF(Table1[[#This Row],[Age]]&lt;36,"25-35",IF(Table1[[#This Row],[Age]]&lt;51,"36-50",IF(Table1[[#This Row],[Age]]&lt;66,"51-65",IF(Table1[[#This Row],[Age]]&gt;65,"&gt;65","none")))))</f>
        <v>51-65</v>
      </c>
      <c r="O273" t="str">
        <f>IF(AND(Table1[[#This Row],[Smoker]]="Yes",Table1[[#This Row],[Diabetic]]="Yes"),"Yes","No")</f>
        <v>No</v>
      </c>
      <c r="P273" t="str">
        <f>IF(OR(Table1[[#This Row],[Smoker]]="Yes",Table1[[#This Row],[Diabetic]]="Yes"),"Yes","No")</f>
        <v>Yes</v>
      </c>
      <c r="Q273" s="1" t="str">
        <f>IF(OR(Table1[[#This Row],[Systolic]]&gt;125,Table1[[#This Row],[Diastolic]]&gt;90),"High","Normal")</f>
        <v>High</v>
      </c>
      <c r="R273" s="1">
        <f>Table1[[#This Row],[Discharge_Date]]-Table1[[#This Row],[Admission_Date]]</f>
        <v>2</v>
      </c>
      <c r="S273" s="1"/>
    </row>
    <row r="274" spans="1:19" x14ac:dyDescent="0.3">
      <c r="A274" t="s">
        <v>295</v>
      </c>
      <c r="B274">
        <v>26</v>
      </c>
      <c r="C274" t="s">
        <v>18</v>
      </c>
      <c r="D274">
        <v>38.5</v>
      </c>
      <c r="E274">
        <v>103</v>
      </c>
      <c r="F274">
        <v>72</v>
      </c>
      <c r="G274" t="s">
        <v>14</v>
      </c>
      <c r="H274" t="s">
        <v>13</v>
      </c>
      <c r="I274" t="s">
        <v>21</v>
      </c>
      <c r="J274" s="2">
        <v>3656.63</v>
      </c>
      <c r="K274" s="3">
        <v>45682</v>
      </c>
      <c r="L274" s="3">
        <v>45688</v>
      </c>
      <c r="M274" t="s">
        <v>19</v>
      </c>
      <c r="N274" t="str">
        <f>IF(Table1[[#This Row],[Age]]&lt;25,"&lt; 25",IF(Table1[[#This Row],[Age]]&lt;36,"25-35",IF(Table1[[#This Row],[Age]]&lt;51,"36-50",IF(Table1[[#This Row],[Age]]&lt;66,"51-65",IF(Table1[[#This Row],[Age]]&gt;65,"&gt;65","none")))))</f>
        <v>25-35</v>
      </c>
      <c r="O274" t="str">
        <f>IF(AND(Table1[[#This Row],[Smoker]]="Yes",Table1[[#This Row],[Diabetic]]="Yes"),"Yes","No")</f>
        <v>No</v>
      </c>
      <c r="P274" t="str">
        <f>IF(OR(Table1[[#This Row],[Smoker]]="Yes",Table1[[#This Row],[Diabetic]]="Yes"),"Yes","No")</f>
        <v>Yes</v>
      </c>
      <c r="Q274" s="1" t="str">
        <f>IF(OR(Table1[[#This Row],[Systolic]]&gt;125,Table1[[#This Row],[Diastolic]]&gt;90),"High","Normal")</f>
        <v>Normal</v>
      </c>
      <c r="R274" s="1">
        <f>Table1[[#This Row],[Discharge_Date]]-Table1[[#This Row],[Admission_Date]]</f>
        <v>6</v>
      </c>
      <c r="S274" s="1"/>
    </row>
    <row r="275" spans="1:19" x14ac:dyDescent="0.3">
      <c r="A275" t="s">
        <v>296</v>
      </c>
      <c r="B275">
        <v>26</v>
      </c>
      <c r="C275" t="s">
        <v>12</v>
      </c>
      <c r="D275">
        <v>21.3</v>
      </c>
      <c r="E275">
        <v>168</v>
      </c>
      <c r="F275">
        <v>101</v>
      </c>
      <c r="G275" t="s">
        <v>13</v>
      </c>
      <c r="H275" t="s">
        <v>14</v>
      </c>
      <c r="I275" t="s">
        <v>15</v>
      </c>
      <c r="J275" s="2">
        <v>1275.03</v>
      </c>
      <c r="K275" s="3">
        <v>45650</v>
      </c>
      <c r="L275" s="3">
        <v>45662</v>
      </c>
      <c r="M275" t="s">
        <v>16</v>
      </c>
      <c r="N275" t="str">
        <f>IF(Table1[[#This Row],[Age]]&lt;25,"&lt; 25",IF(Table1[[#This Row],[Age]]&lt;36,"25-35",IF(Table1[[#This Row],[Age]]&lt;51,"36-50",IF(Table1[[#This Row],[Age]]&lt;66,"51-65",IF(Table1[[#This Row],[Age]]&gt;65,"&gt;65","none")))))</f>
        <v>25-35</v>
      </c>
      <c r="O275" t="str">
        <f>IF(AND(Table1[[#This Row],[Smoker]]="Yes",Table1[[#This Row],[Diabetic]]="Yes"),"Yes","No")</f>
        <v>No</v>
      </c>
      <c r="P275" t="str">
        <f>IF(OR(Table1[[#This Row],[Smoker]]="Yes",Table1[[#This Row],[Diabetic]]="Yes"),"Yes","No")</f>
        <v>Yes</v>
      </c>
      <c r="Q275" s="1" t="str">
        <f>IF(OR(Table1[[#This Row],[Systolic]]&gt;125,Table1[[#This Row],[Diastolic]]&gt;90),"High","Normal")</f>
        <v>High</v>
      </c>
      <c r="R275" s="1">
        <f>Table1[[#This Row],[Discharge_Date]]-Table1[[#This Row],[Admission_Date]]</f>
        <v>12</v>
      </c>
      <c r="S275" s="1"/>
    </row>
    <row r="276" spans="1:19" x14ac:dyDescent="0.3">
      <c r="A276" t="s">
        <v>297</v>
      </c>
      <c r="B276">
        <v>46</v>
      </c>
      <c r="C276" t="s">
        <v>12</v>
      </c>
      <c r="D276">
        <v>21.9</v>
      </c>
      <c r="E276">
        <v>164</v>
      </c>
      <c r="F276">
        <v>118</v>
      </c>
      <c r="G276" t="s">
        <v>14</v>
      </c>
      <c r="H276" t="s">
        <v>14</v>
      </c>
      <c r="I276" t="s">
        <v>32</v>
      </c>
      <c r="J276" s="2">
        <v>4777.79</v>
      </c>
      <c r="K276" s="3">
        <v>45670</v>
      </c>
      <c r="L276" s="3">
        <v>45682</v>
      </c>
      <c r="M276" t="s">
        <v>16</v>
      </c>
      <c r="N276" t="str">
        <f>IF(Table1[[#This Row],[Age]]&lt;25,"&lt; 25",IF(Table1[[#This Row],[Age]]&lt;36,"25-35",IF(Table1[[#This Row],[Age]]&lt;51,"36-50",IF(Table1[[#This Row],[Age]]&lt;66,"51-65",IF(Table1[[#This Row],[Age]]&gt;65,"&gt;65","none")))))</f>
        <v>36-50</v>
      </c>
      <c r="O276" t="str">
        <f>IF(AND(Table1[[#This Row],[Smoker]]="Yes",Table1[[#This Row],[Diabetic]]="Yes"),"Yes","No")</f>
        <v>Yes</v>
      </c>
      <c r="P276" t="str">
        <f>IF(OR(Table1[[#This Row],[Smoker]]="Yes",Table1[[#This Row],[Diabetic]]="Yes"),"Yes","No")</f>
        <v>Yes</v>
      </c>
      <c r="Q276" s="1" t="str">
        <f>IF(OR(Table1[[#This Row],[Systolic]]&gt;125,Table1[[#This Row],[Diastolic]]&gt;90),"High","Normal")</f>
        <v>High</v>
      </c>
      <c r="R276" s="1">
        <f>Table1[[#This Row],[Discharge_Date]]-Table1[[#This Row],[Admission_Date]]</f>
        <v>12</v>
      </c>
      <c r="S276" s="1"/>
    </row>
    <row r="277" spans="1:19" x14ac:dyDescent="0.3">
      <c r="A277" t="s">
        <v>298</v>
      </c>
      <c r="B277">
        <v>69</v>
      </c>
      <c r="C277" t="s">
        <v>12</v>
      </c>
      <c r="D277">
        <v>35</v>
      </c>
      <c r="E277">
        <v>135</v>
      </c>
      <c r="F277">
        <v>91</v>
      </c>
      <c r="G277" t="s">
        <v>14</v>
      </c>
      <c r="H277" t="s">
        <v>14</v>
      </c>
      <c r="I277" t="s">
        <v>15</v>
      </c>
      <c r="J277" s="2">
        <v>2735.92</v>
      </c>
      <c r="K277" s="3">
        <v>45679</v>
      </c>
      <c r="L277" s="3">
        <v>45689</v>
      </c>
      <c r="M277" t="s">
        <v>23</v>
      </c>
      <c r="N277" t="str">
        <f>IF(Table1[[#This Row],[Age]]&lt;25,"&lt; 25",IF(Table1[[#This Row],[Age]]&lt;36,"25-35",IF(Table1[[#This Row],[Age]]&lt;51,"36-50",IF(Table1[[#This Row],[Age]]&lt;66,"51-65",IF(Table1[[#This Row],[Age]]&gt;65,"&gt;65","none")))))</f>
        <v>&gt;65</v>
      </c>
      <c r="O277" t="str">
        <f>IF(AND(Table1[[#This Row],[Smoker]]="Yes",Table1[[#This Row],[Diabetic]]="Yes"),"Yes","No")</f>
        <v>Yes</v>
      </c>
      <c r="P277" t="str">
        <f>IF(OR(Table1[[#This Row],[Smoker]]="Yes",Table1[[#This Row],[Diabetic]]="Yes"),"Yes","No")</f>
        <v>Yes</v>
      </c>
      <c r="Q277" s="1" t="str">
        <f>IF(OR(Table1[[#This Row],[Systolic]]&gt;125,Table1[[#This Row],[Diastolic]]&gt;90),"High","Normal")</f>
        <v>High</v>
      </c>
      <c r="R277" s="1">
        <f>Table1[[#This Row],[Discharge_Date]]-Table1[[#This Row],[Admission_Date]]</f>
        <v>10</v>
      </c>
      <c r="S277" s="1"/>
    </row>
    <row r="278" spans="1:19" x14ac:dyDescent="0.3">
      <c r="A278" t="s">
        <v>299</v>
      </c>
      <c r="B278">
        <v>24</v>
      </c>
      <c r="C278" t="s">
        <v>12</v>
      </c>
      <c r="D278">
        <v>28.8</v>
      </c>
      <c r="E278">
        <v>160</v>
      </c>
      <c r="F278">
        <v>84</v>
      </c>
      <c r="G278" t="s">
        <v>13</v>
      </c>
      <c r="H278" t="s">
        <v>13</v>
      </c>
      <c r="I278" t="s">
        <v>25</v>
      </c>
      <c r="J278" s="2">
        <v>4244.78</v>
      </c>
      <c r="K278" s="3">
        <v>45631</v>
      </c>
      <c r="L278" s="3">
        <v>45636</v>
      </c>
      <c r="M278" t="s">
        <v>16</v>
      </c>
      <c r="N278" t="str">
        <f>IF(Table1[[#This Row],[Age]]&lt;25,"&lt; 25",IF(Table1[[#This Row],[Age]]&lt;36,"25-35",IF(Table1[[#This Row],[Age]]&lt;51,"36-50",IF(Table1[[#This Row],[Age]]&lt;66,"51-65",IF(Table1[[#This Row],[Age]]&gt;65,"&gt;65","none")))))</f>
        <v>&lt; 25</v>
      </c>
      <c r="O278" t="str">
        <f>IF(AND(Table1[[#This Row],[Smoker]]="Yes",Table1[[#This Row],[Diabetic]]="Yes"),"Yes","No")</f>
        <v>No</v>
      </c>
      <c r="P278" t="str">
        <f>IF(OR(Table1[[#This Row],[Smoker]]="Yes",Table1[[#This Row],[Diabetic]]="Yes"),"Yes","No")</f>
        <v>No</v>
      </c>
      <c r="Q278" s="1" t="str">
        <f>IF(OR(Table1[[#This Row],[Systolic]]&gt;125,Table1[[#This Row],[Diastolic]]&gt;90),"High","Normal")</f>
        <v>High</v>
      </c>
      <c r="R278" s="1">
        <f>Table1[[#This Row],[Discharge_Date]]-Table1[[#This Row],[Admission_Date]]</f>
        <v>5</v>
      </c>
      <c r="S278" s="1"/>
    </row>
    <row r="279" spans="1:19" x14ac:dyDescent="0.3">
      <c r="A279" t="s">
        <v>300</v>
      </c>
      <c r="B279">
        <v>29</v>
      </c>
      <c r="C279" t="s">
        <v>12</v>
      </c>
      <c r="D279">
        <v>33.9</v>
      </c>
      <c r="E279">
        <v>173</v>
      </c>
      <c r="F279">
        <v>61</v>
      </c>
      <c r="G279" t="s">
        <v>13</v>
      </c>
      <c r="H279" t="s">
        <v>13</v>
      </c>
      <c r="I279" t="s">
        <v>15</v>
      </c>
      <c r="J279" s="2">
        <v>454.99</v>
      </c>
      <c r="K279" s="3">
        <v>45602</v>
      </c>
      <c r="L279" s="3">
        <v>45612</v>
      </c>
      <c r="M279" t="s">
        <v>23</v>
      </c>
      <c r="N279" t="str">
        <f>IF(Table1[[#This Row],[Age]]&lt;25,"&lt; 25",IF(Table1[[#This Row],[Age]]&lt;36,"25-35",IF(Table1[[#This Row],[Age]]&lt;51,"36-50",IF(Table1[[#This Row],[Age]]&lt;66,"51-65",IF(Table1[[#This Row],[Age]]&gt;65,"&gt;65","none")))))</f>
        <v>25-35</v>
      </c>
      <c r="O279" t="str">
        <f>IF(AND(Table1[[#This Row],[Smoker]]="Yes",Table1[[#This Row],[Diabetic]]="Yes"),"Yes","No")</f>
        <v>No</v>
      </c>
      <c r="P279" t="str">
        <f>IF(OR(Table1[[#This Row],[Smoker]]="Yes",Table1[[#This Row],[Diabetic]]="Yes"),"Yes","No")</f>
        <v>No</v>
      </c>
      <c r="Q279" s="1" t="str">
        <f>IF(OR(Table1[[#This Row],[Systolic]]&gt;125,Table1[[#This Row],[Diastolic]]&gt;90),"High","Normal")</f>
        <v>High</v>
      </c>
      <c r="R279" s="1">
        <f>Table1[[#This Row],[Discharge_Date]]-Table1[[#This Row],[Admission_Date]]</f>
        <v>10</v>
      </c>
      <c r="S279" s="1"/>
    </row>
    <row r="280" spans="1:19" x14ac:dyDescent="0.3">
      <c r="A280" t="s">
        <v>301</v>
      </c>
      <c r="B280">
        <v>77</v>
      </c>
      <c r="C280" t="s">
        <v>18</v>
      </c>
      <c r="D280">
        <v>20.9</v>
      </c>
      <c r="E280">
        <v>128</v>
      </c>
      <c r="F280">
        <v>120</v>
      </c>
      <c r="G280" t="s">
        <v>13</v>
      </c>
      <c r="H280" t="s">
        <v>13</v>
      </c>
      <c r="I280" t="s">
        <v>15</v>
      </c>
      <c r="J280" s="2">
        <v>1204.3499999999999</v>
      </c>
      <c r="K280" s="3">
        <v>45866</v>
      </c>
      <c r="L280" s="3">
        <v>45872</v>
      </c>
      <c r="M280" t="s">
        <v>23</v>
      </c>
      <c r="N280" t="str">
        <f>IF(Table1[[#This Row],[Age]]&lt;25,"&lt; 25",IF(Table1[[#This Row],[Age]]&lt;36,"25-35",IF(Table1[[#This Row],[Age]]&lt;51,"36-50",IF(Table1[[#This Row],[Age]]&lt;66,"51-65",IF(Table1[[#This Row],[Age]]&gt;65,"&gt;65","none")))))</f>
        <v>&gt;65</v>
      </c>
      <c r="O280" t="str">
        <f>IF(AND(Table1[[#This Row],[Smoker]]="Yes",Table1[[#This Row],[Diabetic]]="Yes"),"Yes","No")</f>
        <v>No</v>
      </c>
      <c r="P280" t="str">
        <f>IF(OR(Table1[[#This Row],[Smoker]]="Yes",Table1[[#This Row],[Diabetic]]="Yes"),"Yes","No")</f>
        <v>No</v>
      </c>
      <c r="Q280" s="1" t="str">
        <f>IF(OR(Table1[[#This Row],[Systolic]]&gt;125,Table1[[#This Row],[Diastolic]]&gt;90),"High","Normal")</f>
        <v>High</v>
      </c>
      <c r="R280" s="1">
        <f>Table1[[#This Row],[Discharge_Date]]-Table1[[#This Row],[Admission_Date]]</f>
        <v>6</v>
      </c>
      <c r="S280" s="1"/>
    </row>
    <row r="281" spans="1:19" x14ac:dyDescent="0.3">
      <c r="A281" t="s">
        <v>302</v>
      </c>
      <c r="B281">
        <v>61</v>
      </c>
      <c r="C281" t="s">
        <v>18</v>
      </c>
      <c r="D281">
        <v>35.6</v>
      </c>
      <c r="E281">
        <v>121</v>
      </c>
      <c r="F281">
        <v>86</v>
      </c>
      <c r="G281" t="s">
        <v>14</v>
      </c>
      <c r="H281" t="s">
        <v>14</v>
      </c>
      <c r="I281" t="s">
        <v>25</v>
      </c>
      <c r="J281" s="2">
        <v>365.12</v>
      </c>
      <c r="K281" s="3">
        <v>45863</v>
      </c>
      <c r="L281" s="3">
        <v>45865</v>
      </c>
      <c r="M281" t="s">
        <v>23</v>
      </c>
      <c r="N281" t="str">
        <f>IF(Table1[[#This Row],[Age]]&lt;25,"&lt; 25",IF(Table1[[#This Row],[Age]]&lt;36,"25-35",IF(Table1[[#This Row],[Age]]&lt;51,"36-50",IF(Table1[[#This Row],[Age]]&lt;66,"51-65",IF(Table1[[#This Row],[Age]]&gt;65,"&gt;65","none")))))</f>
        <v>51-65</v>
      </c>
      <c r="O281" t="str">
        <f>IF(AND(Table1[[#This Row],[Smoker]]="Yes",Table1[[#This Row],[Diabetic]]="Yes"),"Yes","No")</f>
        <v>Yes</v>
      </c>
      <c r="P281" t="str">
        <f>IF(OR(Table1[[#This Row],[Smoker]]="Yes",Table1[[#This Row],[Diabetic]]="Yes"),"Yes","No")</f>
        <v>Yes</v>
      </c>
      <c r="Q281" s="1" t="str">
        <f>IF(OR(Table1[[#This Row],[Systolic]]&gt;125,Table1[[#This Row],[Diastolic]]&gt;90),"High","Normal")</f>
        <v>Normal</v>
      </c>
      <c r="R281" s="1">
        <f>Table1[[#This Row],[Discharge_Date]]-Table1[[#This Row],[Admission_Date]]</f>
        <v>2</v>
      </c>
      <c r="S281" s="1"/>
    </row>
    <row r="282" spans="1:19" x14ac:dyDescent="0.3">
      <c r="A282" t="s">
        <v>303</v>
      </c>
      <c r="B282">
        <v>44</v>
      </c>
      <c r="C282" t="s">
        <v>12</v>
      </c>
      <c r="D282">
        <v>37.299999999999997</v>
      </c>
      <c r="E282">
        <v>171</v>
      </c>
      <c r="F282">
        <v>72</v>
      </c>
      <c r="G282" t="s">
        <v>14</v>
      </c>
      <c r="H282" t="s">
        <v>13</v>
      </c>
      <c r="I282" t="s">
        <v>15</v>
      </c>
      <c r="J282" s="2">
        <v>4349.8900000000003</v>
      </c>
      <c r="K282" s="3">
        <v>45789</v>
      </c>
      <c r="L282" s="3">
        <v>45792</v>
      </c>
      <c r="M282" t="s">
        <v>23</v>
      </c>
      <c r="N282" t="str">
        <f>IF(Table1[[#This Row],[Age]]&lt;25,"&lt; 25",IF(Table1[[#This Row],[Age]]&lt;36,"25-35",IF(Table1[[#This Row],[Age]]&lt;51,"36-50",IF(Table1[[#This Row],[Age]]&lt;66,"51-65",IF(Table1[[#This Row],[Age]]&gt;65,"&gt;65","none")))))</f>
        <v>36-50</v>
      </c>
      <c r="O282" t="str">
        <f>IF(AND(Table1[[#This Row],[Smoker]]="Yes",Table1[[#This Row],[Diabetic]]="Yes"),"Yes","No")</f>
        <v>No</v>
      </c>
      <c r="P282" t="str">
        <f>IF(OR(Table1[[#This Row],[Smoker]]="Yes",Table1[[#This Row],[Diabetic]]="Yes"),"Yes","No")</f>
        <v>Yes</v>
      </c>
      <c r="Q282" s="1" t="str">
        <f>IF(OR(Table1[[#This Row],[Systolic]]&gt;125,Table1[[#This Row],[Diastolic]]&gt;90),"High","Normal")</f>
        <v>High</v>
      </c>
      <c r="R282" s="1">
        <f>Table1[[#This Row],[Discharge_Date]]-Table1[[#This Row],[Admission_Date]]</f>
        <v>3</v>
      </c>
      <c r="S282" s="1"/>
    </row>
    <row r="283" spans="1:19" x14ac:dyDescent="0.3">
      <c r="A283" t="s">
        <v>304</v>
      </c>
      <c r="B283">
        <v>38</v>
      </c>
      <c r="C283" t="s">
        <v>12</v>
      </c>
      <c r="D283">
        <v>30.4</v>
      </c>
      <c r="E283">
        <v>102</v>
      </c>
      <c r="F283">
        <v>93</v>
      </c>
      <c r="G283" t="s">
        <v>13</v>
      </c>
      <c r="H283" t="s">
        <v>14</v>
      </c>
      <c r="I283" t="s">
        <v>15</v>
      </c>
      <c r="J283" s="2">
        <v>2675.07</v>
      </c>
      <c r="K283" s="3">
        <v>45798</v>
      </c>
      <c r="L283" s="3">
        <v>45801</v>
      </c>
      <c r="M283" t="s">
        <v>16</v>
      </c>
      <c r="N283" t="str">
        <f>IF(Table1[[#This Row],[Age]]&lt;25,"&lt; 25",IF(Table1[[#This Row],[Age]]&lt;36,"25-35",IF(Table1[[#This Row],[Age]]&lt;51,"36-50",IF(Table1[[#This Row],[Age]]&lt;66,"51-65",IF(Table1[[#This Row],[Age]]&gt;65,"&gt;65","none")))))</f>
        <v>36-50</v>
      </c>
      <c r="O283" t="str">
        <f>IF(AND(Table1[[#This Row],[Smoker]]="Yes",Table1[[#This Row],[Diabetic]]="Yes"),"Yes","No")</f>
        <v>No</v>
      </c>
      <c r="P283" t="str">
        <f>IF(OR(Table1[[#This Row],[Smoker]]="Yes",Table1[[#This Row],[Diabetic]]="Yes"),"Yes","No")</f>
        <v>Yes</v>
      </c>
      <c r="Q283" s="1" t="str">
        <f>IF(OR(Table1[[#This Row],[Systolic]]&gt;125,Table1[[#This Row],[Diastolic]]&gt;90),"High","Normal")</f>
        <v>High</v>
      </c>
      <c r="R283" s="1">
        <f>Table1[[#This Row],[Discharge_Date]]-Table1[[#This Row],[Admission_Date]]</f>
        <v>3</v>
      </c>
      <c r="S283" s="1"/>
    </row>
    <row r="284" spans="1:19" x14ac:dyDescent="0.3">
      <c r="A284" t="s">
        <v>305</v>
      </c>
      <c r="B284">
        <v>75</v>
      </c>
      <c r="C284" t="s">
        <v>12</v>
      </c>
      <c r="D284">
        <v>38.5</v>
      </c>
      <c r="E284">
        <v>136</v>
      </c>
      <c r="F284">
        <v>85</v>
      </c>
      <c r="G284" t="s">
        <v>14</v>
      </c>
      <c r="H284" t="s">
        <v>14</v>
      </c>
      <c r="I284" t="s">
        <v>32</v>
      </c>
      <c r="J284" s="2">
        <v>2427.87</v>
      </c>
      <c r="K284" s="3">
        <v>45885</v>
      </c>
      <c r="L284" s="3">
        <v>45892</v>
      </c>
      <c r="M284" t="s">
        <v>23</v>
      </c>
      <c r="N284" t="str">
        <f>IF(Table1[[#This Row],[Age]]&lt;25,"&lt; 25",IF(Table1[[#This Row],[Age]]&lt;36,"25-35",IF(Table1[[#This Row],[Age]]&lt;51,"36-50",IF(Table1[[#This Row],[Age]]&lt;66,"51-65",IF(Table1[[#This Row],[Age]]&gt;65,"&gt;65","none")))))</f>
        <v>&gt;65</v>
      </c>
      <c r="O284" t="str">
        <f>IF(AND(Table1[[#This Row],[Smoker]]="Yes",Table1[[#This Row],[Diabetic]]="Yes"),"Yes","No")</f>
        <v>Yes</v>
      </c>
      <c r="P284" t="str">
        <f>IF(OR(Table1[[#This Row],[Smoker]]="Yes",Table1[[#This Row],[Diabetic]]="Yes"),"Yes","No")</f>
        <v>Yes</v>
      </c>
      <c r="Q284" s="1" t="str">
        <f>IF(OR(Table1[[#This Row],[Systolic]]&gt;125,Table1[[#This Row],[Diastolic]]&gt;90),"High","Normal")</f>
        <v>High</v>
      </c>
      <c r="R284" s="1">
        <f>Table1[[#This Row],[Discharge_Date]]-Table1[[#This Row],[Admission_Date]]</f>
        <v>7</v>
      </c>
      <c r="S284" s="1"/>
    </row>
    <row r="285" spans="1:19" x14ac:dyDescent="0.3">
      <c r="A285" t="s">
        <v>306</v>
      </c>
      <c r="B285">
        <v>69</v>
      </c>
      <c r="C285" t="s">
        <v>18</v>
      </c>
      <c r="D285">
        <v>39.4</v>
      </c>
      <c r="E285">
        <v>93</v>
      </c>
      <c r="F285">
        <v>60</v>
      </c>
      <c r="G285" t="s">
        <v>14</v>
      </c>
      <c r="H285" t="s">
        <v>13</v>
      </c>
      <c r="I285" t="s">
        <v>32</v>
      </c>
      <c r="J285" s="2">
        <v>448.74</v>
      </c>
      <c r="K285" s="3">
        <v>45903</v>
      </c>
      <c r="L285" s="3">
        <v>45911</v>
      </c>
      <c r="M285" t="s">
        <v>16</v>
      </c>
      <c r="N285" t="str">
        <f>IF(Table1[[#This Row],[Age]]&lt;25,"&lt; 25",IF(Table1[[#This Row],[Age]]&lt;36,"25-35",IF(Table1[[#This Row],[Age]]&lt;51,"36-50",IF(Table1[[#This Row],[Age]]&lt;66,"51-65",IF(Table1[[#This Row],[Age]]&gt;65,"&gt;65","none")))))</f>
        <v>&gt;65</v>
      </c>
      <c r="O285" t="str">
        <f>IF(AND(Table1[[#This Row],[Smoker]]="Yes",Table1[[#This Row],[Diabetic]]="Yes"),"Yes","No")</f>
        <v>No</v>
      </c>
      <c r="P285" t="str">
        <f>IF(OR(Table1[[#This Row],[Smoker]]="Yes",Table1[[#This Row],[Diabetic]]="Yes"),"Yes","No")</f>
        <v>Yes</v>
      </c>
      <c r="Q285" s="1" t="str">
        <f>IF(OR(Table1[[#This Row],[Systolic]]&gt;125,Table1[[#This Row],[Diastolic]]&gt;90),"High","Normal")</f>
        <v>Normal</v>
      </c>
      <c r="R285" s="1">
        <f>Table1[[#This Row],[Discharge_Date]]-Table1[[#This Row],[Admission_Date]]</f>
        <v>8</v>
      </c>
      <c r="S285" s="1"/>
    </row>
    <row r="286" spans="1:19" x14ac:dyDescent="0.3">
      <c r="A286" t="s">
        <v>307</v>
      </c>
      <c r="B286">
        <v>42</v>
      </c>
      <c r="C286" t="s">
        <v>18</v>
      </c>
      <c r="D286">
        <v>18</v>
      </c>
      <c r="E286">
        <v>104</v>
      </c>
      <c r="F286">
        <v>98</v>
      </c>
      <c r="G286" t="s">
        <v>14</v>
      </c>
      <c r="H286" t="s">
        <v>13</v>
      </c>
      <c r="I286" t="s">
        <v>15</v>
      </c>
      <c r="J286" s="2">
        <v>4718.8</v>
      </c>
      <c r="K286" s="3">
        <v>45625</v>
      </c>
      <c r="L286" s="3">
        <v>45636</v>
      </c>
      <c r="M286" t="s">
        <v>19</v>
      </c>
      <c r="N286" t="str">
        <f>IF(Table1[[#This Row],[Age]]&lt;25,"&lt; 25",IF(Table1[[#This Row],[Age]]&lt;36,"25-35",IF(Table1[[#This Row],[Age]]&lt;51,"36-50",IF(Table1[[#This Row],[Age]]&lt;66,"51-65",IF(Table1[[#This Row],[Age]]&gt;65,"&gt;65","none")))))</f>
        <v>36-50</v>
      </c>
      <c r="O286" t="str">
        <f>IF(AND(Table1[[#This Row],[Smoker]]="Yes",Table1[[#This Row],[Diabetic]]="Yes"),"Yes","No")</f>
        <v>No</v>
      </c>
      <c r="P286" t="str">
        <f>IF(OR(Table1[[#This Row],[Smoker]]="Yes",Table1[[#This Row],[Diabetic]]="Yes"),"Yes","No")</f>
        <v>Yes</v>
      </c>
      <c r="Q286" s="1" t="str">
        <f>IF(OR(Table1[[#This Row],[Systolic]]&gt;125,Table1[[#This Row],[Diastolic]]&gt;90),"High","Normal")</f>
        <v>High</v>
      </c>
      <c r="R286" s="1">
        <f>Table1[[#This Row],[Discharge_Date]]-Table1[[#This Row],[Admission_Date]]</f>
        <v>11</v>
      </c>
      <c r="S286" s="1"/>
    </row>
    <row r="287" spans="1:19" x14ac:dyDescent="0.3">
      <c r="A287" t="s">
        <v>308</v>
      </c>
      <c r="B287">
        <v>40</v>
      </c>
      <c r="C287" t="s">
        <v>18</v>
      </c>
      <c r="D287">
        <v>28.5</v>
      </c>
      <c r="E287">
        <v>180</v>
      </c>
      <c r="F287">
        <v>63</v>
      </c>
      <c r="G287" t="s">
        <v>13</v>
      </c>
      <c r="H287" t="s">
        <v>13</v>
      </c>
      <c r="I287" t="s">
        <v>32</v>
      </c>
      <c r="J287" s="2">
        <v>3591.69</v>
      </c>
      <c r="K287" s="3">
        <v>45823</v>
      </c>
      <c r="L287" s="3">
        <v>45826</v>
      </c>
      <c r="M287" t="s">
        <v>16</v>
      </c>
      <c r="N287" t="str">
        <f>IF(Table1[[#This Row],[Age]]&lt;25,"&lt; 25",IF(Table1[[#This Row],[Age]]&lt;36,"25-35",IF(Table1[[#This Row],[Age]]&lt;51,"36-50",IF(Table1[[#This Row],[Age]]&lt;66,"51-65",IF(Table1[[#This Row],[Age]]&gt;65,"&gt;65","none")))))</f>
        <v>36-50</v>
      </c>
      <c r="O287" t="str">
        <f>IF(AND(Table1[[#This Row],[Smoker]]="Yes",Table1[[#This Row],[Diabetic]]="Yes"),"Yes","No")</f>
        <v>No</v>
      </c>
      <c r="P287" t="str">
        <f>IF(OR(Table1[[#This Row],[Smoker]]="Yes",Table1[[#This Row],[Diabetic]]="Yes"),"Yes","No")</f>
        <v>No</v>
      </c>
      <c r="Q287" s="1" t="str">
        <f>IF(OR(Table1[[#This Row],[Systolic]]&gt;125,Table1[[#This Row],[Diastolic]]&gt;90),"High","Normal")</f>
        <v>High</v>
      </c>
      <c r="R287" s="1">
        <f>Table1[[#This Row],[Discharge_Date]]-Table1[[#This Row],[Admission_Date]]</f>
        <v>3</v>
      </c>
      <c r="S287" s="1"/>
    </row>
    <row r="288" spans="1:19" x14ac:dyDescent="0.3">
      <c r="A288" t="s">
        <v>309</v>
      </c>
      <c r="B288">
        <v>42</v>
      </c>
      <c r="C288" t="s">
        <v>12</v>
      </c>
      <c r="D288">
        <v>18.2</v>
      </c>
      <c r="E288">
        <v>96</v>
      </c>
      <c r="F288">
        <v>110</v>
      </c>
      <c r="G288" t="s">
        <v>13</v>
      </c>
      <c r="H288" t="s">
        <v>14</v>
      </c>
      <c r="I288" t="s">
        <v>25</v>
      </c>
      <c r="J288" s="2">
        <v>4663.99</v>
      </c>
      <c r="K288" s="3">
        <v>45856</v>
      </c>
      <c r="L288" s="3">
        <v>45866</v>
      </c>
      <c r="M288" t="s">
        <v>19</v>
      </c>
      <c r="N288" t="str">
        <f>IF(Table1[[#This Row],[Age]]&lt;25,"&lt; 25",IF(Table1[[#This Row],[Age]]&lt;36,"25-35",IF(Table1[[#This Row],[Age]]&lt;51,"36-50",IF(Table1[[#This Row],[Age]]&lt;66,"51-65",IF(Table1[[#This Row],[Age]]&gt;65,"&gt;65","none")))))</f>
        <v>36-50</v>
      </c>
      <c r="O288" t="str">
        <f>IF(AND(Table1[[#This Row],[Smoker]]="Yes",Table1[[#This Row],[Diabetic]]="Yes"),"Yes","No")</f>
        <v>No</v>
      </c>
      <c r="P288" t="str">
        <f>IF(OR(Table1[[#This Row],[Smoker]]="Yes",Table1[[#This Row],[Diabetic]]="Yes"),"Yes","No")</f>
        <v>Yes</v>
      </c>
      <c r="Q288" s="1" t="str">
        <f>IF(OR(Table1[[#This Row],[Systolic]]&gt;125,Table1[[#This Row],[Diastolic]]&gt;90),"High","Normal")</f>
        <v>High</v>
      </c>
      <c r="R288" s="1">
        <f>Table1[[#This Row],[Discharge_Date]]-Table1[[#This Row],[Admission_Date]]</f>
        <v>10</v>
      </c>
      <c r="S288" s="1"/>
    </row>
    <row r="289" spans="1:19" x14ac:dyDescent="0.3">
      <c r="A289" t="s">
        <v>310</v>
      </c>
      <c r="B289">
        <v>49</v>
      </c>
      <c r="C289" t="s">
        <v>18</v>
      </c>
      <c r="D289">
        <v>38.799999999999997</v>
      </c>
      <c r="E289">
        <v>164</v>
      </c>
      <c r="F289">
        <v>88</v>
      </c>
      <c r="G289" t="s">
        <v>14</v>
      </c>
      <c r="H289" t="s">
        <v>14</v>
      </c>
      <c r="I289" t="s">
        <v>15</v>
      </c>
      <c r="J289" s="2">
        <v>810.19</v>
      </c>
      <c r="K289" s="3">
        <v>45585</v>
      </c>
      <c r="L289" s="3">
        <v>45598</v>
      </c>
      <c r="M289" t="s">
        <v>19</v>
      </c>
      <c r="N289" t="str">
        <f>IF(Table1[[#This Row],[Age]]&lt;25,"&lt; 25",IF(Table1[[#This Row],[Age]]&lt;36,"25-35",IF(Table1[[#This Row],[Age]]&lt;51,"36-50",IF(Table1[[#This Row],[Age]]&lt;66,"51-65",IF(Table1[[#This Row],[Age]]&gt;65,"&gt;65","none")))))</f>
        <v>36-50</v>
      </c>
      <c r="O289" t="str">
        <f>IF(AND(Table1[[#This Row],[Smoker]]="Yes",Table1[[#This Row],[Diabetic]]="Yes"),"Yes","No")</f>
        <v>Yes</v>
      </c>
      <c r="P289" t="str">
        <f>IF(OR(Table1[[#This Row],[Smoker]]="Yes",Table1[[#This Row],[Diabetic]]="Yes"),"Yes","No")</f>
        <v>Yes</v>
      </c>
      <c r="Q289" s="1" t="str">
        <f>IF(OR(Table1[[#This Row],[Systolic]]&gt;125,Table1[[#This Row],[Diastolic]]&gt;90),"High","Normal")</f>
        <v>High</v>
      </c>
      <c r="R289" s="1">
        <f>Table1[[#This Row],[Discharge_Date]]-Table1[[#This Row],[Admission_Date]]</f>
        <v>13</v>
      </c>
      <c r="S289" s="1"/>
    </row>
    <row r="290" spans="1:19" x14ac:dyDescent="0.3">
      <c r="A290" t="s">
        <v>311</v>
      </c>
      <c r="B290">
        <v>81</v>
      </c>
      <c r="C290" t="s">
        <v>12</v>
      </c>
      <c r="D290">
        <v>26.2</v>
      </c>
      <c r="E290">
        <v>97</v>
      </c>
      <c r="F290">
        <v>88</v>
      </c>
      <c r="G290" t="s">
        <v>13</v>
      </c>
      <c r="H290" t="s">
        <v>13</v>
      </c>
      <c r="I290" t="s">
        <v>25</v>
      </c>
      <c r="J290" s="2">
        <v>2910.52</v>
      </c>
      <c r="K290" s="3">
        <v>45762</v>
      </c>
      <c r="L290" s="3">
        <v>45776</v>
      </c>
      <c r="M290" t="s">
        <v>16</v>
      </c>
      <c r="N290" t="str">
        <f>IF(Table1[[#This Row],[Age]]&lt;25,"&lt; 25",IF(Table1[[#This Row],[Age]]&lt;36,"25-35",IF(Table1[[#This Row],[Age]]&lt;51,"36-50",IF(Table1[[#This Row],[Age]]&lt;66,"51-65",IF(Table1[[#This Row],[Age]]&gt;65,"&gt;65","none")))))</f>
        <v>&gt;65</v>
      </c>
      <c r="O290" t="str">
        <f>IF(AND(Table1[[#This Row],[Smoker]]="Yes",Table1[[#This Row],[Diabetic]]="Yes"),"Yes","No")</f>
        <v>No</v>
      </c>
      <c r="P290" t="str">
        <f>IF(OR(Table1[[#This Row],[Smoker]]="Yes",Table1[[#This Row],[Diabetic]]="Yes"),"Yes","No")</f>
        <v>No</v>
      </c>
      <c r="Q290" s="1" t="str">
        <f>IF(OR(Table1[[#This Row],[Systolic]]&gt;125,Table1[[#This Row],[Diastolic]]&gt;90),"High","Normal")</f>
        <v>Normal</v>
      </c>
      <c r="R290" s="1">
        <f>Table1[[#This Row],[Discharge_Date]]-Table1[[#This Row],[Admission_Date]]</f>
        <v>14</v>
      </c>
      <c r="S290" s="1"/>
    </row>
    <row r="291" spans="1:19" x14ac:dyDescent="0.3">
      <c r="A291" t="s">
        <v>312</v>
      </c>
      <c r="B291">
        <v>18</v>
      </c>
      <c r="C291" t="s">
        <v>12</v>
      </c>
      <c r="D291">
        <v>32.200000000000003</v>
      </c>
      <c r="E291">
        <v>162</v>
      </c>
      <c r="F291">
        <v>108</v>
      </c>
      <c r="G291" t="s">
        <v>14</v>
      </c>
      <c r="H291" t="s">
        <v>14</v>
      </c>
      <c r="I291" t="s">
        <v>32</v>
      </c>
      <c r="J291" s="2">
        <v>3814.2</v>
      </c>
      <c r="K291" s="3">
        <v>45569</v>
      </c>
      <c r="L291" s="3">
        <v>45574</v>
      </c>
      <c r="M291" t="s">
        <v>19</v>
      </c>
      <c r="N291" t="str">
        <f>IF(Table1[[#This Row],[Age]]&lt;25,"&lt; 25",IF(Table1[[#This Row],[Age]]&lt;36,"25-35",IF(Table1[[#This Row],[Age]]&lt;51,"36-50",IF(Table1[[#This Row],[Age]]&lt;66,"51-65",IF(Table1[[#This Row],[Age]]&gt;65,"&gt;65","none")))))</f>
        <v>&lt; 25</v>
      </c>
      <c r="O291" t="str">
        <f>IF(AND(Table1[[#This Row],[Smoker]]="Yes",Table1[[#This Row],[Diabetic]]="Yes"),"Yes","No")</f>
        <v>Yes</v>
      </c>
      <c r="P291" t="str">
        <f>IF(OR(Table1[[#This Row],[Smoker]]="Yes",Table1[[#This Row],[Diabetic]]="Yes"),"Yes","No")</f>
        <v>Yes</v>
      </c>
      <c r="Q291" s="1" t="str">
        <f>IF(OR(Table1[[#This Row],[Systolic]]&gt;125,Table1[[#This Row],[Diastolic]]&gt;90),"High","Normal")</f>
        <v>High</v>
      </c>
      <c r="R291" s="1">
        <f>Table1[[#This Row],[Discharge_Date]]-Table1[[#This Row],[Admission_Date]]</f>
        <v>5</v>
      </c>
      <c r="S291" s="1"/>
    </row>
    <row r="292" spans="1:19" x14ac:dyDescent="0.3">
      <c r="A292" t="s">
        <v>313</v>
      </c>
      <c r="B292">
        <v>47</v>
      </c>
      <c r="C292" t="s">
        <v>12</v>
      </c>
      <c r="D292">
        <v>34.299999999999997</v>
      </c>
      <c r="E292">
        <v>90</v>
      </c>
      <c r="F292">
        <v>116</v>
      </c>
      <c r="G292" t="s">
        <v>13</v>
      </c>
      <c r="H292" t="s">
        <v>13</v>
      </c>
      <c r="I292" t="s">
        <v>25</v>
      </c>
      <c r="J292" s="2">
        <v>3461.13</v>
      </c>
      <c r="K292" s="3">
        <v>45865</v>
      </c>
      <c r="L292" s="3">
        <v>45871</v>
      </c>
      <c r="M292" t="s">
        <v>19</v>
      </c>
      <c r="N292" t="str">
        <f>IF(Table1[[#This Row],[Age]]&lt;25,"&lt; 25",IF(Table1[[#This Row],[Age]]&lt;36,"25-35",IF(Table1[[#This Row],[Age]]&lt;51,"36-50",IF(Table1[[#This Row],[Age]]&lt;66,"51-65",IF(Table1[[#This Row],[Age]]&gt;65,"&gt;65","none")))))</f>
        <v>36-50</v>
      </c>
      <c r="O292" t="str">
        <f>IF(AND(Table1[[#This Row],[Smoker]]="Yes",Table1[[#This Row],[Diabetic]]="Yes"),"Yes","No")</f>
        <v>No</v>
      </c>
      <c r="P292" t="str">
        <f>IF(OR(Table1[[#This Row],[Smoker]]="Yes",Table1[[#This Row],[Diabetic]]="Yes"),"Yes","No")</f>
        <v>No</v>
      </c>
      <c r="Q292" s="1" t="str">
        <f>IF(OR(Table1[[#This Row],[Systolic]]&gt;125,Table1[[#This Row],[Diastolic]]&gt;90),"High","Normal")</f>
        <v>High</v>
      </c>
      <c r="R292" s="1">
        <f>Table1[[#This Row],[Discharge_Date]]-Table1[[#This Row],[Admission_Date]]</f>
        <v>6</v>
      </c>
      <c r="S292" s="1"/>
    </row>
    <row r="293" spans="1:19" x14ac:dyDescent="0.3">
      <c r="A293" t="s">
        <v>314</v>
      </c>
      <c r="B293">
        <v>32</v>
      </c>
      <c r="C293" t="s">
        <v>18</v>
      </c>
      <c r="D293">
        <v>33.9</v>
      </c>
      <c r="E293">
        <v>148</v>
      </c>
      <c r="F293">
        <v>108</v>
      </c>
      <c r="G293" t="s">
        <v>13</v>
      </c>
      <c r="H293" t="s">
        <v>14</v>
      </c>
      <c r="I293" t="s">
        <v>25</v>
      </c>
      <c r="J293" s="2">
        <v>2098.7800000000002</v>
      </c>
      <c r="K293" s="3">
        <v>45859</v>
      </c>
      <c r="L293" s="3">
        <v>45865</v>
      </c>
      <c r="M293" t="s">
        <v>16</v>
      </c>
      <c r="N293" t="str">
        <f>IF(Table1[[#This Row],[Age]]&lt;25,"&lt; 25",IF(Table1[[#This Row],[Age]]&lt;36,"25-35",IF(Table1[[#This Row],[Age]]&lt;51,"36-50",IF(Table1[[#This Row],[Age]]&lt;66,"51-65",IF(Table1[[#This Row],[Age]]&gt;65,"&gt;65","none")))))</f>
        <v>25-35</v>
      </c>
      <c r="O293" t="str">
        <f>IF(AND(Table1[[#This Row],[Smoker]]="Yes",Table1[[#This Row],[Diabetic]]="Yes"),"Yes","No")</f>
        <v>No</v>
      </c>
      <c r="P293" t="str">
        <f>IF(OR(Table1[[#This Row],[Smoker]]="Yes",Table1[[#This Row],[Diabetic]]="Yes"),"Yes","No")</f>
        <v>Yes</v>
      </c>
      <c r="Q293" s="1" t="str">
        <f>IF(OR(Table1[[#This Row],[Systolic]]&gt;125,Table1[[#This Row],[Diastolic]]&gt;90),"High","Normal")</f>
        <v>High</v>
      </c>
      <c r="R293" s="1">
        <f>Table1[[#This Row],[Discharge_Date]]-Table1[[#This Row],[Admission_Date]]</f>
        <v>6</v>
      </c>
      <c r="S293" s="1"/>
    </row>
    <row r="294" spans="1:19" x14ac:dyDescent="0.3">
      <c r="A294" t="s">
        <v>315</v>
      </c>
      <c r="B294">
        <v>63</v>
      </c>
      <c r="C294" t="s">
        <v>18</v>
      </c>
      <c r="D294">
        <v>22.9</v>
      </c>
      <c r="E294">
        <v>94</v>
      </c>
      <c r="F294">
        <v>100</v>
      </c>
      <c r="G294" t="s">
        <v>14</v>
      </c>
      <c r="H294" t="s">
        <v>13</v>
      </c>
      <c r="I294" t="s">
        <v>25</v>
      </c>
      <c r="J294" s="2">
        <v>4228.7700000000004</v>
      </c>
      <c r="K294" s="3">
        <v>45673</v>
      </c>
      <c r="L294" s="3">
        <v>45681</v>
      </c>
      <c r="M294" t="s">
        <v>19</v>
      </c>
      <c r="N294" t="str">
        <f>IF(Table1[[#This Row],[Age]]&lt;25,"&lt; 25",IF(Table1[[#This Row],[Age]]&lt;36,"25-35",IF(Table1[[#This Row],[Age]]&lt;51,"36-50",IF(Table1[[#This Row],[Age]]&lt;66,"51-65",IF(Table1[[#This Row],[Age]]&gt;65,"&gt;65","none")))))</f>
        <v>51-65</v>
      </c>
      <c r="O294" t="str">
        <f>IF(AND(Table1[[#This Row],[Smoker]]="Yes",Table1[[#This Row],[Diabetic]]="Yes"),"Yes","No")</f>
        <v>No</v>
      </c>
      <c r="P294" t="str">
        <f>IF(OR(Table1[[#This Row],[Smoker]]="Yes",Table1[[#This Row],[Diabetic]]="Yes"),"Yes","No")</f>
        <v>Yes</v>
      </c>
      <c r="Q294" s="1" t="str">
        <f>IF(OR(Table1[[#This Row],[Systolic]]&gt;125,Table1[[#This Row],[Diastolic]]&gt;90),"High","Normal")</f>
        <v>High</v>
      </c>
      <c r="R294" s="1">
        <f>Table1[[#This Row],[Discharge_Date]]-Table1[[#This Row],[Admission_Date]]</f>
        <v>8</v>
      </c>
      <c r="S294" s="1"/>
    </row>
    <row r="295" spans="1:19" x14ac:dyDescent="0.3">
      <c r="A295" t="s">
        <v>316</v>
      </c>
      <c r="B295">
        <v>49</v>
      </c>
      <c r="C295" t="s">
        <v>12</v>
      </c>
      <c r="D295">
        <v>34.200000000000003</v>
      </c>
      <c r="E295">
        <v>146</v>
      </c>
      <c r="F295">
        <v>75</v>
      </c>
      <c r="G295" t="s">
        <v>14</v>
      </c>
      <c r="H295" t="s">
        <v>13</v>
      </c>
      <c r="I295" t="s">
        <v>21</v>
      </c>
      <c r="J295" s="2">
        <v>1704.61</v>
      </c>
      <c r="K295" s="3">
        <v>45697</v>
      </c>
      <c r="L295" s="3">
        <v>45710</v>
      </c>
      <c r="M295" t="s">
        <v>16</v>
      </c>
      <c r="N295" t="str">
        <f>IF(Table1[[#This Row],[Age]]&lt;25,"&lt; 25",IF(Table1[[#This Row],[Age]]&lt;36,"25-35",IF(Table1[[#This Row],[Age]]&lt;51,"36-50",IF(Table1[[#This Row],[Age]]&lt;66,"51-65",IF(Table1[[#This Row],[Age]]&gt;65,"&gt;65","none")))))</f>
        <v>36-50</v>
      </c>
      <c r="O295" t="str">
        <f>IF(AND(Table1[[#This Row],[Smoker]]="Yes",Table1[[#This Row],[Diabetic]]="Yes"),"Yes","No")</f>
        <v>No</v>
      </c>
      <c r="P295" t="str">
        <f>IF(OR(Table1[[#This Row],[Smoker]]="Yes",Table1[[#This Row],[Diabetic]]="Yes"),"Yes","No")</f>
        <v>Yes</v>
      </c>
      <c r="Q295" s="1" t="str">
        <f>IF(OR(Table1[[#This Row],[Systolic]]&gt;125,Table1[[#This Row],[Diastolic]]&gt;90),"High","Normal")</f>
        <v>High</v>
      </c>
      <c r="R295" s="1">
        <f>Table1[[#This Row],[Discharge_Date]]-Table1[[#This Row],[Admission_Date]]</f>
        <v>13</v>
      </c>
      <c r="S295" s="1"/>
    </row>
    <row r="296" spans="1:19" x14ac:dyDescent="0.3">
      <c r="A296" t="s">
        <v>317</v>
      </c>
      <c r="B296">
        <v>35</v>
      </c>
      <c r="C296" t="s">
        <v>12</v>
      </c>
      <c r="D296">
        <v>23.4</v>
      </c>
      <c r="E296">
        <v>140</v>
      </c>
      <c r="F296">
        <v>114</v>
      </c>
      <c r="G296" t="s">
        <v>13</v>
      </c>
      <c r="H296" t="s">
        <v>14</v>
      </c>
      <c r="I296" t="s">
        <v>15</v>
      </c>
      <c r="J296" s="2">
        <v>3517.89</v>
      </c>
      <c r="K296" s="3">
        <v>45771</v>
      </c>
      <c r="L296" s="3">
        <v>45776</v>
      </c>
      <c r="M296" t="s">
        <v>16</v>
      </c>
      <c r="N296" t="str">
        <f>IF(Table1[[#This Row],[Age]]&lt;25,"&lt; 25",IF(Table1[[#This Row],[Age]]&lt;36,"25-35",IF(Table1[[#This Row],[Age]]&lt;51,"36-50",IF(Table1[[#This Row],[Age]]&lt;66,"51-65",IF(Table1[[#This Row],[Age]]&gt;65,"&gt;65","none")))))</f>
        <v>25-35</v>
      </c>
      <c r="O296" t="str">
        <f>IF(AND(Table1[[#This Row],[Smoker]]="Yes",Table1[[#This Row],[Diabetic]]="Yes"),"Yes","No")</f>
        <v>No</v>
      </c>
      <c r="P296" t="str">
        <f>IF(OR(Table1[[#This Row],[Smoker]]="Yes",Table1[[#This Row],[Diabetic]]="Yes"),"Yes","No")</f>
        <v>Yes</v>
      </c>
      <c r="Q296" s="1" t="str">
        <f>IF(OR(Table1[[#This Row],[Systolic]]&gt;125,Table1[[#This Row],[Diastolic]]&gt;90),"High","Normal")</f>
        <v>High</v>
      </c>
      <c r="R296" s="1">
        <f>Table1[[#This Row],[Discharge_Date]]-Table1[[#This Row],[Admission_Date]]</f>
        <v>5</v>
      </c>
      <c r="S296" s="1"/>
    </row>
    <row r="297" spans="1:19" x14ac:dyDescent="0.3">
      <c r="A297" t="s">
        <v>318</v>
      </c>
      <c r="B297">
        <v>32</v>
      </c>
      <c r="C297" t="s">
        <v>12</v>
      </c>
      <c r="D297">
        <v>39.799999999999997</v>
      </c>
      <c r="E297">
        <v>153</v>
      </c>
      <c r="F297">
        <v>112</v>
      </c>
      <c r="G297" t="s">
        <v>13</v>
      </c>
      <c r="H297" t="s">
        <v>13</v>
      </c>
      <c r="I297" t="s">
        <v>21</v>
      </c>
      <c r="J297" s="2">
        <v>2073.08</v>
      </c>
      <c r="K297" s="3">
        <v>45593</v>
      </c>
      <c r="L297" s="3">
        <v>45596</v>
      </c>
      <c r="M297" t="s">
        <v>16</v>
      </c>
      <c r="N297" t="str">
        <f>IF(Table1[[#This Row],[Age]]&lt;25,"&lt; 25",IF(Table1[[#This Row],[Age]]&lt;36,"25-35",IF(Table1[[#This Row],[Age]]&lt;51,"36-50",IF(Table1[[#This Row],[Age]]&lt;66,"51-65",IF(Table1[[#This Row],[Age]]&gt;65,"&gt;65","none")))))</f>
        <v>25-35</v>
      </c>
      <c r="O297" t="str">
        <f>IF(AND(Table1[[#This Row],[Smoker]]="Yes",Table1[[#This Row],[Diabetic]]="Yes"),"Yes","No")</f>
        <v>No</v>
      </c>
      <c r="P297" t="str">
        <f>IF(OR(Table1[[#This Row],[Smoker]]="Yes",Table1[[#This Row],[Diabetic]]="Yes"),"Yes","No")</f>
        <v>No</v>
      </c>
      <c r="Q297" s="1" t="str">
        <f>IF(OR(Table1[[#This Row],[Systolic]]&gt;125,Table1[[#This Row],[Diastolic]]&gt;90),"High","Normal")</f>
        <v>High</v>
      </c>
      <c r="R297" s="1">
        <f>Table1[[#This Row],[Discharge_Date]]-Table1[[#This Row],[Admission_Date]]</f>
        <v>3</v>
      </c>
      <c r="S297" s="1"/>
    </row>
    <row r="298" spans="1:19" x14ac:dyDescent="0.3">
      <c r="A298" t="s">
        <v>319</v>
      </c>
      <c r="B298">
        <v>45</v>
      </c>
      <c r="C298" t="s">
        <v>12</v>
      </c>
      <c r="D298">
        <v>24</v>
      </c>
      <c r="E298">
        <v>177</v>
      </c>
      <c r="F298">
        <v>66</v>
      </c>
      <c r="G298" t="s">
        <v>13</v>
      </c>
      <c r="H298" t="s">
        <v>13</v>
      </c>
      <c r="I298" t="s">
        <v>34</v>
      </c>
      <c r="J298" s="2">
        <v>2452.1999999999998</v>
      </c>
      <c r="K298" s="3">
        <v>45787</v>
      </c>
      <c r="L298" s="3">
        <v>45800</v>
      </c>
      <c r="M298" t="s">
        <v>19</v>
      </c>
      <c r="N298" t="str">
        <f>IF(Table1[[#This Row],[Age]]&lt;25,"&lt; 25",IF(Table1[[#This Row],[Age]]&lt;36,"25-35",IF(Table1[[#This Row],[Age]]&lt;51,"36-50",IF(Table1[[#This Row],[Age]]&lt;66,"51-65",IF(Table1[[#This Row],[Age]]&gt;65,"&gt;65","none")))))</f>
        <v>36-50</v>
      </c>
      <c r="O298" t="str">
        <f>IF(AND(Table1[[#This Row],[Smoker]]="Yes",Table1[[#This Row],[Diabetic]]="Yes"),"Yes","No")</f>
        <v>No</v>
      </c>
      <c r="P298" t="str">
        <f>IF(OR(Table1[[#This Row],[Smoker]]="Yes",Table1[[#This Row],[Diabetic]]="Yes"),"Yes","No")</f>
        <v>No</v>
      </c>
      <c r="Q298" s="1" t="str">
        <f>IF(OR(Table1[[#This Row],[Systolic]]&gt;125,Table1[[#This Row],[Diastolic]]&gt;90),"High","Normal")</f>
        <v>High</v>
      </c>
      <c r="R298" s="1">
        <f>Table1[[#This Row],[Discharge_Date]]-Table1[[#This Row],[Admission_Date]]</f>
        <v>13</v>
      </c>
      <c r="S298" s="1"/>
    </row>
    <row r="299" spans="1:19" x14ac:dyDescent="0.3">
      <c r="A299" t="s">
        <v>320</v>
      </c>
      <c r="B299">
        <v>26</v>
      </c>
      <c r="C299" t="s">
        <v>18</v>
      </c>
      <c r="D299">
        <v>23.2</v>
      </c>
      <c r="E299">
        <v>96</v>
      </c>
      <c r="F299">
        <v>71</v>
      </c>
      <c r="G299" t="s">
        <v>13</v>
      </c>
      <c r="H299" t="s">
        <v>14</v>
      </c>
      <c r="I299" t="s">
        <v>21</v>
      </c>
      <c r="J299" s="2">
        <v>1113.8</v>
      </c>
      <c r="K299" s="3">
        <v>45686</v>
      </c>
      <c r="L299" s="3">
        <v>45690</v>
      </c>
      <c r="M299" t="s">
        <v>19</v>
      </c>
      <c r="N299" t="str">
        <f>IF(Table1[[#This Row],[Age]]&lt;25,"&lt; 25",IF(Table1[[#This Row],[Age]]&lt;36,"25-35",IF(Table1[[#This Row],[Age]]&lt;51,"36-50",IF(Table1[[#This Row],[Age]]&lt;66,"51-65",IF(Table1[[#This Row],[Age]]&gt;65,"&gt;65","none")))))</f>
        <v>25-35</v>
      </c>
      <c r="O299" t="str">
        <f>IF(AND(Table1[[#This Row],[Smoker]]="Yes",Table1[[#This Row],[Diabetic]]="Yes"),"Yes","No")</f>
        <v>No</v>
      </c>
      <c r="P299" t="str">
        <f>IF(OR(Table1[[#This Row],[Smoker]]="Yes",Table1[[#This Row],[Diabetic]]="Yes"),"Yes","No")</f>
        <v>Yes</v>
      </c>
      <c r="Q299" s="1" t="str">
        <f>IF(OR(Table1[[#This Row],[Systolic]]&gt;125,Table1[[#This Row],[Diastolic]]&gt;90),"High","Normal")</f>
        <v>Normal</v>
      </c>
      <c r="R299" s="1">
        <f>Table1[[#This Row],[Discharge_Date]]-Table1[[#This Row],[Admission_Date]]</f>
        <v>4</v>
      </c>
      <c r="S299" s="1"/>
    </row>
    <row r="300" spans="1:19" x14ac:dyDescent="0.3">
      <c r="A300" t="s">
        <v>321</v>
      </c>
      <c r="B300">
        <v>42</v>
      </c>
      <c r="C300" t="s">
        <v>18</v>
      </c>
      <c r="D300">
        <v>27</v>
      </c>
      <c r="E300">
        <v>122</v>
      </c>
      <c r="F300">
        <v>60</v>
      </c>
      <c r="G300" t="s">
        <v>14</v>
      </c>
      <c r="H300" t="s">
        <v>13</v>
      </c>
      <c r="I300" t="s">
        <v>25</v>
      </c>
      <c r="J300" s="2">
        <v>2479.1999999999998</v>
      </c>
      <c r="K300" s="3">
        <v>45604</v>
      </c>
      <c r="L300" s="3">
        <v>45609</v>
      </c>
      <c r="M300" t="s">
        <v>16</v>
      </c>
      <c r="N300" t="str">
        <f>IF(Table1[[#This Row],[Age]]&lt;25,"&lt; 25",IF(Table1[[#This Row],[Age]]&lt;36,"25-35",IF(Table1[[#This Row],[Age]]&lt;51,"36-50",IF(Table1[[#This Row],[Age]]&lt;66,"51-65",IF(Table1[[#This Row],[Age]]&gt;65,"&gt;65","none")))))</f>
        <v>36-50</v>
      </c>
      <c r="O300" t="str">
        <f>IF(AND(Table1[[#This Row],[Smoker]]="Yes",Table1[[#This Row],[Diabetic]]="Yes"),"Yes","No")</f>
        <v>No</v>
      </c>
      <c r="P300" t="str">
        <f>IF(OR(Table1[[#This Row],[Smoker]]="Yes",Table1[[#This Row],[Diabetic]]="Yes"),"Yes","No")</f>
        <v>Yes</v>
      </c>
      <c r="Q300" s="1" t="str">
        <f>IF(OR(Table1[[#This Row],[Systolic]]&gt;125,Table1[[#This Row],[Diastolic]]&gt;90),"High","Normal")</f>
        <v>Normal</v>
      </c>
      <c r="R300" s="1">
        <f>Table1[[#This Row],[Discharge_Date]]-Table1[[#This Row],[Admission_Date]]</f>
        <v>5</v>
      </c>
      <c r="S300" s="1"/>
    </row>
    <row r="301" spans="1:19" x14ac:dyDescent="0.3">
      <c r="A301" t="s">
        <v>322</v>
      </c>
      <c r="B301">
        <v>23</v>
      </c>
      <c r="C301" t="s">
        <v>18</v>
      </c>
      <c r="D301">
        <v>25</v>
      </c>
      <c r="E301">
        <v>153</v>
      </c>
      <c r="F301">
        <v>101</v>
      </c>
      <c r="G301" t="s">
        <v>13</v>
      </c>
      <c r="H301" t="s">
        <v>13</v>
      </c>
      <c r="I301" t="s">
        <v>15</v>
      </c>
      <c r="J301" s="2">
        <v>3883.4</v>
      </c>
      <c r="K301" s="3">
        <v>45910</v>
      </c>
      <c r="L301" s="3">
        <v>45921</v>
      </c>
      <c r="M301" t="s">
        <v>23</v>
      </c>
      <c r="N301" t="str">
        <f>IF(Table1[[#This Row],[Age]]&lt;25,"&lt; 25",IF(Table1[[#This Row],[Age]]&lt;36,"25-35",IF(Table1[[#This Row],[Age]]&lt;51,"36-50",IF(Table1[[#This Row],[Age]]&lt;66,"51-65",IF(Table1[[#This Row],[Age]]&gt;65,"&gt;65","none")))))</f>
        <v>&lt; 25</v>
      </c>
      <c r="O301" t="str">
        <f>IF(AND(Table1[[#This Row],[Smoker]]="Yes",Table1[[#This Row],[Diabetic]]="Yes"),"Yes","No")</f>
        <v>No</v>
      </c>
      <c r="P301" t="str">
        <f>IF(OR(Table1[[#This Row],[Smoker]]="Yes",Table1[[#This Row],[Diabetic]]="Yes"),"Yes","No")</f>
        <v>No</v>
      </c>
      <c r="Q301" s="1" t="str">
        <f>IF(OR(Table1[[#This Row],[Systolic]]&gt;125,Table1[[#This Row],[Diastolic]]&gt;90),"High","Normal")</f>
        <v>High</v>
      </c>
      <c r="R301" s="1">
        <f>Table1[[#This Row],[Discharge_Date]]-Table1[[#This Row],[Admission_Date]]</f>
        <v>11</v>
      </c>
      <c r="S301" s="1"/>
    </row>
    <row r="302" spans="1:19" x14ac:dyDescent="0.3">
      <c r="A302" t="s">
        <v>323</v>
      </c>
      <c r="B302">
        <v>18</v>
      </c>
      <c r="C302" t="s">
        <v>18</v>
      </c>
      <c r="D302">
        <v>29.9</v>
      </c>
      <c r="E302">
        <v>122</v>
      </c>
      <c r="F302">
        <v>60</v>
      </c>
      <c r="G302" t="s">
        <v>14</v>
      </c>
      <c r="H302" t="s">
        <v>14</v>
      </c>
      <c r="I302" t="s">
        <v>15</v>
      </c>
      <c r="J302" s="2">
        <v>2548.02</v>
      </c>
      <c r="K302" s="3">
        <v>45830</v>
      </c>
      <c r="L302" s="3">
        <v>45836</v>
      </c>
      <c r="M302" t="s">
        <v>16</v>
      </c>
      <c r="N302" t="str">
        <f>IF(Table1[[#This Row],[Age]]&lt;25,"&lt; 25",IF(Table1[[#This Row],[Age]]&lt;36,"25-35",IF(Table1[[#This Row],[Age]]&lt;51,"36-50",IF(Table1[[#This Row],[Age]]&lt;66,"51-65",IF(Table1[[#This Row],[Age]]&gt;65,"&gt;65","none")))))</f>
        <v>&lt; 25</v>
      </c>
      <c r="O302" t="str">
        <f>IF(AND(Table1[[#This Row],[Smoker]]="Yes",Table1[[#This Row],[Diabetic]]="Yes"),"Yes","No")</f>
        <v>Yes</v>
      </c>
      <c r="P302" t="str">
        <f>IF(OR(Table1[[#This Row],[Smoker]]="Yes",Table1[[#This Row],[Diabetic]]="Yes"),"Yes","No")</f>
        <v>Yes</v>
      </c>
      <c r="Q302" s="1" t="str">
        <f>IF(OR(Table1[[#This Row],[Systolic]]&gt;125,Table1[[#This Row],[Diastolic]]&gt;90),"High","Normal")</f>
        <v>Normal</v>
      </c>
      <c r="R302" s="1">
        <f>Table1[[#This Row],[Discharge_Date]]-Table1[[#This Row],[Admission_Date]]</f>
        <v>6</v>
      </c>
      <c r="S302" s="1"/>
    </row>
    <row r="303" spans="1:19" x14ac:dyDescent="0.3">
      <c r="A303" t="s">
        <v>324</v>
      </c>
      <c r="B303">
        <v>25</v>
      </c>
      <c r="C303" t="s">
        <v>18</v>
      </c>
      <c r="D303">
        <v>23.7</v>
      </c>
      <c r="E303">
        <v>122</v>
      </c>
      <c r="F303">
        <v>96</v>
      </c>
      <c r="G303" t="s">
        <v>14</v>
      </c>
      <c r="H303" t="s">
        <v>14</v>
      </c>
      <c r="I303" t="s">
        <v>21</v>
      </c>
      <c r="J303" s="2">
        <v>2435.35</v>
      </c>
      <c r="K303" s="3">
        <v>45795</v>
      </c>
      <c r="L303" s="3">
        <v>45798</v>
      </c>
      <c r="M303" t="s">
        <v>19</v>
      </c>
      <c r="N303" t="str">
        <f>IF(Table1[[#This Row],[Age]]&lt;25,"&lt; 25",IF(Table1[[#This Row],[Age]]&lt;36,"25-35",IF(Table1[[#This Row],[Age]]&lt;51,"36-50",IF(Table1[[#This Row],[Age]]&lt;66,"51-65",IF(Table1[[#This Row],[Age]]&gt;65,"&gt;65","none")))))</f>
        <v>25-35</v>
      </c>
      <c r="O303" t="str">
        <f>IF(AND(Table1[[#This Row],[Smoker]]="Yes",Table1[[#This Row],[Diabetic]]="Yes"),"Yes","No")</f>
        <v>Yes</v>
      </c>
      <c r="P303" t="str">
        <f>IF(OR(Table1[[#This Row],[Smoker]]="Yes",Table1[[#This Row],[Diabetic]]="Yes"),"Yes","No")</f>
        <v>Yes</v>
      </c>
      <c r="Q303" s="1" t="str">
        <f>IF(OR(Table1[[#This Row],[Systolic]]&gt;125,Table1[[#This Row],[Diastolic]]&gt;90),"High","Normal")</f>
        <v>High</v>
      </c>
      <c r="R303" s="1">
        <f>Table1[[#This Row],[Discharge_Date]]-Table1[[#This Row],[Admission_Date]]</f>
        <v>3</v>
      </c>
      <c r="S303" s="1"/>
    </row>
    <row r="304" spans="1:19" x14ac:dyDescent="0.3">
      <c r="A304" t="s">
        <v>325</v>
      </c>
      <c r="B304">
        <v>43</v>
      </c>
      <c r="C304" t="s">
        <v>12</v>
      </c>
      <c r="D304">
        <v>24.1</v>
      </c>
      <c r="E304">
        <v>118</v>
      </c>
      <c r="F304">
        <v>92</v>
      </c>
      <c r="G304" t="s">
        <v>13</v>
      </c>
      <c r="H304" t="s">
        <v>14</v>
      </c>
      <c r="I304" t="s">
        <v>32</v>
      </c>
      <c r="J304" s="2">
        <v>667.76</v>
      </c>
      <c r="K304" s="3">
        <v>45812</v>
      </c>
      <c r="L304" s="3">
        <v>45818</v>
      </c>
      <c r="M304" t="s">
        <v>16</v>
      </c>
      <c r="N304" t="str">
        <f>IF(Table1[[#This Row],[Age]]&lt;25,"&lt; 25",IF(Table1[[#This Row],[Age]]&lt;36,"25-35",IF(Table1[[#This Row],[Age]]&lt;51,"36-50",IF(Table1[[#This Row],[Age]]&lt;66,"51-65",IF(Table1[[#This Row],[Age]]&gt;65,"&gt;65","none")))))</f>
        <v>36-50</v>
      </c>
      <c r="O304" t="str">
        <f>IF(AND(Table1[[#This Row],[Smoker]]="Yes",Table1[[#This Row],[Diabetic]]="Yes"),"Yes","No")</f>
        <v>No</v>
      </c>
      <c r="P304" t="str">
        <f>IF(OR(Table1[[#This Row],[Smoker]]="Yes",Table1[[#This Row],[Diabetic]]="Yes"),"Yes","No")</f>
        <v>Yes</v>
      </c>
      <c r="Q304" s="1" t="str">
        <f>IF(OR(Table1[[#This Row],[Systolic]]&gt;125,Table1[[#This Row],[Diastolic]]&gt;90),"High","Normal")</f>
        <v>High</v>
      </c>
      <c r="R304" s="1">
        <f>Table1[[#This Row],[Discharge_Date]]-Table1[[#This Row],[Admission_Date]]</f>
        <v>6</v>
      </c>
      <c r="S304" s="1"/>
    </row>
    <row r="305" spans="1:19" x14ac:dyDescent="0.3">
      <c r="A305" t="s">
        <v>326</v>
      </c>
      <c r="B305">
        <v>63</v>
      </c>
      <c r="C305" t="s">
        <v>18</v>
      </c>
      <c r="D305">
        <v>29.7</v>
      </c>
      <c r="E305">
        <v>167</v>
      </c>
      <c r="F305">
        <v>117</v>
      </c>
      <c r="G305" t="s">
        <v>14</v>
      </c>
      <c r="H305" t="s">
        <v>13</v>
      </c>
      <c r="I305" t="s">
        <v>34</v>
      </c>
      <c r="J305" s="2">
        <v>1541.49</v>
      </c>
      <c r="K305" s="3">
        <v>45749</v>
      </c>
      <c r="L305" s="3">
        <v>45760</v>
      </c>
      <c r="M305" t="s">
        <v>19</v>
      </c>
      <c r="N305" t="str">
        <f>IF(Table1[[#This Row],[Age]]&lt;25,"&lt; 25",IF(Table1[[#This Row],[Age]]&lt;36,"25-35",IF(Table1[[#This Row],[Age]]&lt;51,"36-50",IF(Table1[[#This Row],[Age]]&lt;66,"51-65",IF(Table1[[#This Row],[Age]]&gt;65,"&gt;65","none")))))</f>
        <v>51-65</v>
      </c>
      <c r="O305" t="str">
        <f>IF(AND(Table1[[#This Row],[Smoker]]="Yes",Table1[[#This Row],[Diabetic]]="Yes"),"Yes","No")</f>
        <v>No</v>
      </c>
      <c r="P305" t="str">
        <f>IF(OR(Table1[[#This Row],[Smoker]]="Yes",Table1[[#This Row],[Diabetic]]="Yes"),"Yes","No")</f>
        <v>Yes</v>
      </c>
      <c r="Q305" s="1" t="str">
        <f>IF(OR(Table1[[#This Row],[Systolic]]&gt;125,Table1[[#This Row],[Diastolic]]&gt;90),"High","Normal")</f>
        <v>High</v>
      </c>
      <c r="R305" s="1">
        <f>Table1[[#This Row],[Discharge_Date]]-Table1[[#This Row],[Admission_Date]]</f>
        <v>11</v>
      </c>
      <c r="S305" s="1"/>
    </row>
    <row r="306" spans="1:19" x14ac:dyDescent="0.3">
      <c r="A306" t="s">
        <v>327</v>
      </c>
      <c r="B306">
        <v>68</v>
      </c>
      <c r="C306" t="s">
        <v>12</v>
      </c>
      <c r="D306">
        <v>30.9</v>
      </c>
      <c r="E306">
        <v>102</v>
      </c>
      <c r="F306">
        <v>117</v>
      </c>
      <c r="G306" t="s">
        <v>14</v>
      </c>
      <c r="H306" t="s">
        <v>14</v>
      </c>
      <c r="I306" t="s">
        <v>34</v>
      </c>
      <c r="J306" s="2">
        <v>188.8</v>
      </c>
      <c r="K306" s="3">
        <v>45586</v>
      </c>
      <c r="L306" s="3">
        <v>45593</v>
      </c>
      <c r="M306" t="s">
        <v>19</v>
      </c>
      <c r="N306" t="str">
        <f>IF(Table1[[#This Row],[Age]]&lt;25,"&lt; 25",IF(Table1[[#This Row],[Age]]&lt;36,"25-35",IF(Table1[[#This Row],[Age]]&lt;51,"36-50",IF(Table1[[#This Row],[Age]]&lt;66,"51-65",IF(Table1[[#This Row],[Age]]&gt;65,"&gt;65","none")))))</f>
        <v>&gt;65</v>
      </c>
      <c r="O306" t="str">
        <f>IF(AND(Table1[[#This Row],[Smoker]]="Yes",Table1[[#This Row],[Diabetic]]="Yes"),"Yes","No")</f>
        <v>Yes</v>
      </c>
      <c r="P306" t="str">
        <f>IF(OR(Table1[[#This Row],[Smoker]]="Yes",Table1[[#This Row],[Diabetic]]="Yes"),"Yes","No")</f>
        <v>Yes</v>
      </c>
      <c r="Q306" s="1" t="str">
        <f>IF(OR(Table1[[#This Row],[Systolic]]&gt;125,Table1[[#This Row],[Diastolic]]&gt;90),"High","Normal")</f>
        <v>High</v>
      </c>
      <c r="R306" s="1">
        <f>Table1[[#This Row],[Discharge_Date]]-Table1[[#This Row],[Admission_Date]]</f>
        <v>7</v>
      </c>
      <c r="S306" s="1"/>
    </row>
    <row r="307" spans="1:19" x14ac:dyDescent="0.3">
      <c r="A307" t="s">
        <v>328</v>
      </c>
      <c r="B307">
        <v>70</v>
      </c>
      <c r="C307" t="s">
        <v>12</v>
      </c>
      <c r="D307">
        <v>35.5</v>
      </c>
      <c r="E307">
        <v>150</v>
      </c>
      <c r="F307">
        <v>65</v>
      </c>
      <c r="G307" t="s">
        <v>13</v>
      </c>
      <c r="H307" t="s">
        <v>13</v>
      </c>
      <c r="I307" t="s">
        <v>34</v>
      </c>
      <c r="J307" s="2">
        <v>740.83</v>
      </c>
      <c r="K307" s="3">
        <v>45899</v>
      </c>
      <c r="L307" s="3">
        <v>45911</v>
      </c>
      <c r="M307" t="s">
        <v>16</v>
      </c>
      <c r="N307" t="str">
        <f>IF(Table1[[#This Row],[Age]]&lt;25,"&lt; 25",IF(Table1[[#This Row],[Age]]&lt;36,"25-35",IF(Table1[[#This Row],[Age]]&lt;51,"36-50",IF(Table1[[#This Row],[Age]]&lt;66,"51-65",IF(Table1[[#This Row],[Age]]&gt;65,"&gt;65","none")))))</f>
        <v>&gt;65</v>
      </c>
      <c r="O307" t="str">
        <f>IF(AND(Table1[[#This Row],[Smoker]]="Yes",Table1[[#This Row],[Diabetic]]="Yes"),"Yes","No")</f>
        <v>No</v>
      </c>
      <c r="P307" t="str">
        <f>IF(OR(Table1[[#This Row],[Smoker]]="Yes",Table1[[#This Row],[Diabetic]]="Yes"),"Yes","No")</f>
        <v>No</v>
      </c>
      <c r="Q307" s="1" t="str">
        <f>IF(OR(Table1[[#This Row],[Systolic]]&gt;125,Table1[[#This Row],[Diastolic]]&gt;90),"High","Normal")</f>
        <v>High</v>
      </c>
      <c r="R307" s="1">
        <f>Table1[[#This Row],[Discharge_Date]]-Table1[[#This Row],[Admission_Date]]</f>
        <v>12</v>
      </c>
      <c r="S307" s="1"/>
    </row>
    <row r="308" spans="1:19" x14ac:dyDescent="0.3">
      <c r="A308" t="s">
        <v>329</v>
      </c>
      <c r="B308">
        <v>78</v>
      </c>
      <c r="C308" t="s">
        <v>12</v>
      </c>
      <c r="D308">
        <v>18.3</v>
      </c>
      <c r="E308">
        <v>165</v>
      </c>
      <c r="F308">
        <v>70</v>
      </c>
      <c r="G308" t="s">
        <v>13</v>
      </c>
      <c r="H308" t="s">
        <v>13</v>
      </c>
      <c r="I308" t="s">
        <v>25</v>
      </c>
      <c r="J308" s="2">
        <v>2938.09</v>
      </c>
      <c r="K308" s="3">
        <v>45782</v>
      </c>
      <c r="L308" s="3">
        <v>45785</v>
      </c>
      <c r="M308" t="s">
        <v>23</v>
      </c>
      <c r="N308" t="str">
        <f>IF(Table1[[#This Row],[Age]]&lt;25,"&lt; 25",IF(Table1[[#This Row],[Age]]&lt;36,"25-35",IF(Table1[[#This Row],[Age]]&lt;51,"36-50",IF(Table1[[#This Row],[Age]]&lt;66,"51-65",IF(Table1[[#This Row],[Age]]&gt;65,"&gt;65","none")))))</f>
        <v>&gt;65</v>
      </c>
      <c r="O308" t="str">
        <f>IF(AND(Table1[[#This Row],[Smoker]]="Yes",Table1[[#This Row],[Diabetic]]="Yes"),"Yes","No")</f>
        <v>No</v>
      </c>
      <c r="P308" t="str">
        <f>IF(OR(Table1[[#This Row],[Smoker]]="Yes",Table1[[#This Row],[Diabetic]]="Yes"),"Yes","No")</f>
        <v>No</v>
      </c>
      <c r="Q308" s="1" t="str">
        <f>IF(OR(Table1[[#This Row],[Systolic]]&gt;125,Table1[[#This Row],[Diastolic]]&gt;90),"High","Normal")</f>
        <v>High</v>
      </c>
      <c r="R308" s="1">
        <f>Table1[[#This Row],[Discharge_Date]]-Table1[[#This Row],[Admission_Date]]</f>
        <v>3</v>
      </c>
      <c r="S308" s="1"/>
    </row>
    <row r="309" spans="1:19" x14ac:dyDescent="0.3">
      <c r="A309" t="s">
        <v>330</v>
      </c>
      <c r="B309">
        <v>43</v>
      </c>
      <c r="C309" t="s">
        <v>18</v>
      </c>
      <c r="D309">
        <v>29.9</v>
      </c>
      <c r="E309">
        <v>129</v>
      </c>
      <c r="F309">
        <v>86</v>
      </c>
      <c r="G309" t="s">
        <v>14</v>
      </c>
      <c r="H309" t="s">
        <v>14</v>
      </c>
      <c r="I309" t="s">
        <v>15</v>
      </c>
      <c r="J309" s="2">
        <v>4518.26</v>
      </c>
      <c r="K309" s="3">
        <v>45840</v>
      </c>
      <c r="L309" s="3">
        <v>45842</v>
      </c>
      <c r="M309" t="s">
        <v>16</v>
      </c>
      <c r="N309" t="str">
        <f>IF(Table1[[#This Row],[Age]]&lt;25,"&lt; 25",IF(Table1[[#This Row],[Age]]&lt;36,"25-35",IF(Table1[[#This Row],[Age]]&lt;51,"36-50",IF(Table1[[#This Row],[Age]]&lt;66,"51-65",IF(Table1[[#This Row],[Age]]&gt;65,"&gt;65","none")))))</f>
        <v>36-50</v>
      </c>
      <c r="O309" t="str">
        <f>IF(AND(Table1[[#This Row],[Smoker]]="Yes",Table1[[#This Row],[Diabetic]]="Yes"),"Yes","No")</f>
        <v>Yes</v>
      </c>
      <c r="P309" t="str">
        <f>IF(OR(Table1[[#This Row],[Smoker]]="Yes",Table1[[#This Row],[Diabetic]]="Yes"),"Yes","No")</f>
        <v>Yes</v>
      </c>
      <c r="Q309" s="1" t="str">
        <f>IF(OR(Table1[[#This Row],[Systolic]]&gt;125,Table1[[#This Row],[Diastolic]]&gt;90),"High","Normal")</f>
        <v>High</v>
      </c>
      <c r="R309" s="1">
        <f>Table1[[#This Row],[Discharge_Date]]-Table1[[#This Row],[Admission_Date]]</f>
        <v>2</v>
      </c>
      <c r="S309" s="1"/>
    </row>
    <row r="310" spans="1:19" x14ac:dyDescent="0.3">
      <c r="A310" t="s">
        <v>331</v>
      </c>
      <c r="B310">
        <v>27</v>
      </c>
      <c r="C310" t="s">
        <v>18</v>
      </c>
      <c r="D310">
        <v>22</v>
      </c>
      <c r="E310">
        <v>152</v>
      </c>
      <c r="F310">
        <v>62</v>
      </c>
      <c r="G310" t="s">
        <v>13</v>
      </c>
      <c r="H310" t="s">
        <v>13</v>
      </c>
      <c r="I310" t="s">
        <v>21</v>
      </c>
      <c r="J310" s="2">
        <v>2938.47</v>
      </c>
      <c r="K310" s="3">
        <v>45601</v>
      </c>
      <c r="L310" s="3">
        <v>45609</v>
      </c>
      <c r="M310" t="s">
        <v>23</v>
      </c>
      <c r="N310" t="str">
        <f>IF(Table1[[#This Row],[Age]]&lt;25,"&lt; 25",IF(Table1[[#This Row],[Age]]&lt;36,"25-35",IF(Table1[[#This Row],[Age]]&lt;51,"36-50",IF(Table1[[#This Row],[Age]]&lt;66,"51-65",IF(Table1[[#This Row],[Age]]&gt;65,"&gt;65","none")))))</f>
        <v>25-35</v>
      </c>
      <c r="O310" t="str">
        <f>IF(AND(Table1[[#This Row],[Smoker]]="Yes",Table1[[#This Row],[Diabetic]]="Yes"),"Yes","No")</f>
        <v>No</v>
      </c>
      <c r="P310" t="str">
        <f>IF(OR(Table1[[#This Row],[Smoker]]="Yes",Table1[[#This Row],[Diabetic]]="Yes"),"Yes","No")</f>
        <v>No</v>
      </c>
      <c r="Q310" s="1" t="str">
        <f>IF(OR(Table1[[#This Row],[Systolic]]&gt;125,Table1[[#This Row],[Diastolic]]&gt;90),"High","Normal")</f>
        <v>High</v>
      </c>
      <c r="R310" s="1">
        <f>Table1[[#This Row],[Discharge_Date]]-Table1[[#This Row],[Admission_Date]]</f>
        <v>8</v>
      </c>
      <c r="S310" s="1"/>
    </row>
    <row r="311" spans="1:19" x14ac:dyDescent="0.3">
      <c r="A311" t="s">
        <v>332</v>
      </c>
      <c r="B311">
        <v>48</v>
      </c>
      <c r="C311" t="s">
        <v>12</v>
      </c>
      <c r="D311">
        <v>19.399999999999999</v>
      </c>
      <c r="E311">
        <v>180</v>
      </c>
      <c r="F311">
        <v>120</v>
      </c>
      <c r="G311" t="s">
        <v>13</v>
      </c>
      <c r="H311" t="s">
        <v>13</v>
      </c>
      <c r="I311" t="s">
        <v>21</v>
      </c>
      <c r="J311" s="2">
        <v>305.77999999999997</v>
      </c>
      <c r="K311" s="3">
        <v>45687</v>
      </c>
      <c r="L311" s="3">
        <v>45700</v>
      </c>
      <c r="M311" t="s">
        <v>19</v>
      </c>
      <c r="N311" t="str">
        <f>IF(Table1[[#This Row],[Age]]&lt;25,"&lt; 25",IF(Table1[[#This Row],[Age]]&lt;36,"25-35",IF(Table1[[#This Row],[Age]]&lt;51,"36-50",IF(Table1[[#This Row],[Age]]&lt;66,"51-65",IF(Table1[[#This Row],[Age]]&gt;65,"&gt;65","none")))))</f>
        <v>36-50</v>
      </c>
      <c r="O311" t="str">
        <f>IF(AND(Table1[[#This Row],[Smoker]]="Yes",Table1[[#This Row],[Diabetic]]="Yes"),"Yes","No")</f>
        <v>No</v>
      </c>
      <c r="P311" t="str">
        <f>IF(OR(Table1[[#This Row],[Smoker]]="Yes",Table1[[#This Row],[Diabetic]]="Yes"),"Yes","No")</f>
        <v>No</v>
      </c>
      <c r="Q311" s="1" t="str">
        <f>IF(OR(Table1[[#This Row],[Systolic]]&gt;125,Table1[[#This Row],[Diastolic]]&gt;90),"High","Normal")</f>
        <v>High</v>
      </c>
      <c r="R311" s="1">
        <f>Table1[[#This Row],[Discharge_Date]]-Table1[[#This Row],[Admission_Date]]</f>
        <v>13</v>
      </c>
      <c r="S311" s="1"/>
    </row>
    <row r="312" spans="1:19" x14ac:dyDescent="0.3">
      <c r="A312" t="s">
        <v>333</v>
      </c>
      <c r="B312">
        <v>70</v>
      </c>
      <c r="C312" t="s">
        <v>18</v>
      </c>
      <c r="D312">
        <v>35.1</v>
      </c>
      <c r="E312">
        <v>155</v>
      </c>
      <c r="F312">
        <v>104</v>
      </c>
      <c r="G312" t="s">
        <v>14</v>
      </c>
      <c r="H312" t="s">
        <v>14</v>
      </c>
      <c r="I312" t="s">
        <v>15</v>
      </c>
      <c r="J312" s="2">
        <v>2191.62</v>
      </c>
      <c r="K312" s="3">
        <v>45889</v>
      </c>
      <c r="L312" s="3">
        <v>45896</v>
      </c>
      <c r="M312" t="s">
        <v>23</v>
      </c>
      <c r="N312" t="str">
        <f>IF(Table1[[#This Row],[Age]]&lt;25,"&lt; 25",IF(Table1[[#This Row],[Age]]&lt;36,"25-35",IF(Table1[[#This Row],[Age]]&lt;51,"36-50",IF(Table1[[#This Row],[Age]]&lt;66,"51-65",IF(Table1[[#This Row],[Age]]&gt;65,"&gt;65","none")))))</f>
        <v>&gt;65</v>
      </c>
      <c r="O312" t="str">
        <f>IF(AND(Table1[[#This Row],[Smoker]]="Yes",Table1[[#This Row],[Diabetic]]="Yes"),"Yes","No")</f>
        <v>Yes</v>
      </c>
      <c r="P312" t="str">
        <f>IF(OR(Table1[[#This Row],[Smoker]]="Yes",Table1[[#This Row],[Diabetic]]="Yes"),"Yes","No")</f>
        <v>Yes</v>
      </c>
      <c r="Q312" s="1" t="str">
        <f>IF(OR(Table1[[#This Row],[Systolic]]&gt;125,Table1[[#This Row],[Diastolic]]&gt;90),"High","Normal")</f>
        <v>High</v>
      </c>
      <c r="R312" s="1">
        <f>Table1[[#This Row],[Discharge_Date]]-Table1[[#This Row],[Admission_Date]]</f>
        <v>7</v>
      </c>
      <c r="S312" s="1"/>
    </row>
    <row r="313" spans="1:19" x14ac:dyDescent="0.3">
      <c r="A313" t="s">
        <v>334</v>
      </c>
      <c r="B313">
        <v>47</v>
      </c>
      <c r="C313" t="s">
        <v>12</v>
      </c>
      <c r="D313">
        <v>22.7</v>
      </c>
      <c r="E313">
        <v>177</v>
      </c>
      <c r="F313">
        <v>87</v>
      </c>
      <c r="G313" t="s">
        <v>13</v>
      </c>
      <c r="H313" t="s">
        <v>14</v>
      </c>
      <c r="I313" t="s">
        <v>32</v>
      </c>
      <c r="J313" s="2">
        <v>135.69999999999999</v>
      </c>
      <c r="K313" s="3">
        <v>45861</v>
      </c>
      <c r="L313" s="3">
        <v>45872</v>
      </c>
      <c r="M313" t="s">
        <v>23</v>
      </c>
      <c r="N313" t="str">
        <f>IF(Table1[[#This Row],[Age]]&lt;25,"&lt; 25",IF(Table1[[#This Row],[Age]]&lt;36,"25-35",IF(Table1[[#This Row],[Age]]&lt;51,"36-50",IF(Table1[[#This Row],[Age]]&lt;66,"51-65",IF(Table1[[#This Row],[Age]]&gt;65,"&gt;65","none")))))</f>
        <v>36-50</v>
      </c>
      <c r="O313" t="str">
        <f>IF(AND(Table1[[#This Row],[Smoker]]="Yes",Table1[[#This Row],[Diabetic]]="Yes"),"Yes","No")</f>
        <v>No</v>
      </c>
      <c r="P313" t="str">
        <f>IF(OR(Table1[[#This Row],[Smoker]]="Yes",Table1[[#This Row],[Diabetic]]="Yes"),"Yes","No")</f>
        <v>Yes</v>
      </c>
      <c r="Q313" s="1" t="str">
        <f>IF(OR(Table1[[#This Row],[Systolic]]&gt;125,Table1[[#This Row],[Diastolic]]&gt;90),"High","Normal")</f>
        <v>High</v>
      </c>
      <c r="R313" s="1">
        <f>Table1[[#This Row],[Discharge_Date]]-Table1[[#This Row],[Admission_Date]]</f>
        <v>11</v>
      </c>
      <c r="S313" s="1"/>
    </row>
    <row r="314" spans="1:19" x14ac:dyDescent="0.3">
      <c r="A314" t="s">
        <v>335</v>
      </c>
      <c r="B314">
        <v>39</v>
      </c>
      <c r="C314" t="s">
        <v>18</v>
      </c>
      <c r="D314">
        <v>27.9</v>
      </c>
      <c r="E314">
        <v>166</v>
      </c>
      <c r="F314">
        <v>93</v>
      </c>
      <c r="G314" t="s">
        <v>14</v>
      </c>
      <c r="H314" t="s">
        <v>14</v>
      </c>
      <c r="I314" t="s">
        <v>21</v>
      </c>
      <c r="J314" s="2">
        <v>1015.1</v>
      </c>
      <c r="K314" s="3">
        <v>45856</v>
      </c>
      <c r="L314" s="3">
        <v>45864</v>
      </c>
      <c r="M314" t="s">
        <v>16</v>
      </c>
      <c r="N314" t="str">
        <f>IF(Table1[[#This Row],[Age]]&lt;25,"&lt; 25",IF(Table1[[#This Row],[Age]]&lt;36,"25-35",IF(Table1[[#This Row],[Age]]&lt;51,"36-50",IF(Table1[[#This Row],[Age]]&lt;66,"51-65",IF(Table1[[#This Row],[Age]]&gt;65,"&gt;65","none")))))</f>
        <v>36-50</v>
      </c>
      <c r="O314" t="str">
        <f>IF(AND(Table1[[#This Row],[Smoker]]="Yes",Table1[[#This Row],[Diabetic]]="Yes"),"Yes","No")</f>
        <v>Yes</v>
      </c>
      <c r="P314" t="str">
        <f>IF(OR(Table1[[#This Row],[Smoker]]="Yes",Table1[[#This Row],[Diabetic]]="Yes"),"Yes","No")</f>
        <v>Yes</v>
      </c>
      <c r="Q314" s="1" t="str">
        <f>IF(OR(Table1[[#This Row],[Systolic]]&gt;125,Table1[[#This Row],[Diastolic]]&gt;90),"High","Normal")</f>
        <v>High</v>
      </c>
      <c r="R314" s="1">
        <f>Table1[[#This Row],[Discharge_Date]]-Table1[[#This Row],[Admission_Date]]</f>
        <v>8</v>
      </c>
      <c r="S314" s="1"/>
    </row>
    <row r="315" spans="1:19" x14ac:dyDescent="0.3">
      <c r="A315" t="s">
        <v>336</v>
      </c>
      <c r="B315">
        <v>81</v>
      </c>
      <c r="C315" t="s">
        <v>12</v>
      </c>
      <c r="D315">
        <v>37.799999999999997</v>
      </c>
      <c r="E315">
        <v>96</v>
      </c>
      <c r="F315">
        <v>111</v>
      </c>
      <c r="G315" t="s">
        <v>14</v>
      </c>
      <c r="H315" t="s">
        <v>13</v>
      </c>
      <c r="I315" t="s">
        <v>34</v>
      </c>
      <c r="J315" s="2">
        <v>1224.3900000000001</v>
      </c>
      <c r="K315" s="3">
        <v>45691</v>
      </c>
      <c r="L315" s="3">
        <v>45705</v>
      </c>
      <c r="M315" t="s">
        <v>23</v>
      </c>
      <c r="N315" t="str">
        <f>IF(Table1[[#This Row],[Age]]&lt;25,"&lt; 25",IF(Table1[[#This Row],[Age]]&lt;36,"25-35",IF(Table1[[#This Row],[Age]]&lt;51,"36-50",IF(Table1[[#This Row],[Age]]&lt;66,"51-65",IF(Table1[[#This Row],[Age]]&gt;65,"&gt;65","none")))))</f>
        <v>&gt;65</v>
      </c>
      <c r="O315" t="str">
        <f>IF(AND(Table1[[#This Row],[Smoker]]="Yes",Table1[[#This Row],[Diabetic]]="Yes"),"Yes","No")</f>
        <v>No</v>
      </c>
      <c r="P315" t="str">
        <f>IF(OR(Table1[[#This Row],[Smoker]]="Yes",Table1[[#This Row],[Diabetic]]="Yes"),"Yes","No")</f>
        <v>Yes</v>
      </c>
      <c r="Q315" s="1" t="str">
        <f>IF(OR(Table1[[#This Row],[Systolic]]&gt;125,Table1[[#This Row],[Diastolic]]&gt;90),"High","Normal")</f>
        <v>High</v>
      </c>
      <c r="R315" s="1">
        <f>Table1[[#This Row],[Discharge_Date]]-Table1[[#This Row],[Admission_Date]]</f>
        <v>14</v>
      </c>
      <c r="S315" s="1"/>
    </row>
    <row r="316" spans="1:19" x14ac:dyDescent="0.3">
      <c r="A316" t="s">
        <v>337</v>
      </c>
      <c r="B316">
        <v>55</v>
      </c>
      <c r="C316" t="s">
        <v>18</v>
      </c>
      <c r="D316">
        <v>21.1</v>
      </c>
      <c r="E316">
        <v>168</v>
      </c>
      <c r="F316">
        <v>61</v>
      </c>
      <c r="G316" t="s">
        <v>13</v>
      </c>
      <c r="H316" t="s">
        <v>13</v>
      </c>
      <c r="I316" t="s">
        <v>15</v>
      </c>
      <c r="J316" s="2">
        <v>1792.32</v>
      </c>
      <c r="K316" s="3">
        <v>45732</v>
      </c>
      <c r="L316" s="3">
        <v>45744</v>
      </c>
      <c r="M316" t="s">
        <v>23</v>
      </c>
      <c r="N316" t="str">
        <f>IF(Table1[[#This Row],[Age]]&lt;25,"&lt; 25",IF(Table1[[#This Row],[Age]]&lt;36,"25-35",IF(Table1[[#This Row],[Age]]&lt;51,"36-50",IF(Table1[[#This Row],[Age]]&lt;66,"51-65",IF(Table1[[#This Row],[Age]]&gt;65,"&gt;65","none")))))</f>
        <v>51-65</v>
      </c>
      <c r="O316" t="str">
        <f>IF(AND(Table1[[#This Row],[Smoker]]="Yes",Table1[[#This Row],[Diabetic]]="Yes"),"Yes","No")</f>
        <v>No</v>
      </c>
      <c r="P316" t="str">
        <f>IF(OR(Table1[[#This Row],[Smoker]]="Yes",Table1[[#This Row],[Diabetic]]="Yes"),"Yes","No")</f>
        <v>No</v>
      </c>
      <c r="Q316" s="1" t="str">
        <f>IF(OR(Table1[[#This Row],[Systolic]]&gt;125,Table1[[#This Row],[Diastolic]]&gt;90),"High","Normal")</f>
        <v>High</v>
      </c>
      <c r="R316" s="1">
        <f>Table1[[#This Row],[Discharge_Date]]-Table1[[#This Row],[Admission_Date]]</f>
        <v>12</v>
      </c>
      <c r="S316" s="1"/>
    </row>
    <row r="317" spans="1:19" x14ac:dyDescent="0.3">
      <c r="A317" t="s">
        <v>338</v>
      </c>
      <c r="B317">
        <v>41</v>
      </c>
      <c r="C317" t="s">
        <v>18</v>
      </c>
      <c r="D317">
        <v>23.7</v>
      </c>
      <c r="E317">
        <v>118</v>
      </c>
      <c r="F317">
        <v>120</v>
      </c>
      <c r="G317" t="s">
        <v>14</v>
      </c>
      <c r="H317" t="s">
        <v>14</v>
      </c>
      <c r="I317" t="s">
        <v>32</v>
      </c>
      <c r="J317" s="2">
        <v>877.04</v>
      </c>
      <c r="K317" s="3">
        <v>45731</v>
      </c>
      <c r="L317" s="3">
        <v>45740</v>
      </c>
      <c r="M317" t="s">
        <v>19</v>
      </c>
      <c r="N317" t="str">
        <f>IF(Table1[[#This Row],[Age]]&lt;25,"&lt; 25",IF(Table1[[#This Row],[Age]]&lt;36,"25-35",IF(Table1[[#This Row],[Age]]&lt;51,"36-50",IF(Table1[[#This Row],[Age]]&lt;66,"51-65",IF(Table1[[#This Row],[Age]]&gt;65,"&gt;65","none")))))</f>
        <v>36-50</v>
      </c>
      <c r="O317" t="str">
        <f>IF(AND(Table1[[#This Row],[Smoker]]="Yes",Table1[[#This Row],[Diabetic]]="Yes"),"Yes","No")</f>
        <v>Yes</v>
      </c>
      <c r="P317" t="str">
        <f>IF(OR(Table1[[#This Row],[Smoker]]="Yes",Table1[[#This Row],[Diabetic]]="Yes"),"Yes","No")</f>
        <v>Yes</v>
      </c>
      <c r="Q317" s="1" t="str">
        <f>IF(OR(Table1[[#This Row],[Systolic]]&gt;125,Table1[[#This Row],[Diastolic]]&gt;90),"High","Normal")</f>
        <v>High</v>
      </c>
      <c r="R317" s="1">
        <f>Table1[[#This Row],[Discharge_Date]]-Table1[[#This Row],[Admission_Date]]</f>
        <v>9</v>
      </c>
      <c r="S317" s="1"/>
    </row>
    <row r="318" spans="1:19" x14ac:dyDescent="0.3">
      <c r="A318" t="s">
        <v>339</v>
      </c>
      <c r="B318">
        <v>45</v>
      </c>
      <c r="C318" t="s">
        <v>18</v>
      </c>
      <c r="D318">
        <v>39.4</v>
      </c>
      <c r="E318">
        <v>164</v>
      </c>
      <c r="F318">
        <v>99</v>
      </c>
      <c r="G318" t="s">
        <v>13</v>
      </c>
      <c r="H318" t="s">
        <v>13</v>
      </c>
      <c r="I318" t="s">
        <v>34</v>
      </c>
      <c r="J318" s="2">
        <v>3595.95</v>
      </c>
      <c r="K318" s="3">
        <v>45701</v>
      </c>
      <c r="L318" s="3">
        <v>45704</v>
      </c>
      <c r="M318" t="s">
        <v>23</v>
      </c>
      <c r="N318" t="str">
        <f>IF(Table1[[#This Row],[Age]]&lt;25,"&lt; 25",IF(Table1[[#This Row],[Age]]&lt;36,"25-35",IF(Table1[[#This Row],[Age]]&lt;51,"36-50",IF(Table1[[#This Row],[Age]]&lt;66,"51-65",IF(Table1[[#This Row],[Age]]&gt;65,"&gt;65","none")))))</f>
        <v>36-50</v>
      </c>
      <c r="O318" t="str">
        <f>IF(AND(Table1[[#This Row],[Smoker]]="Yes",Table1[[#This Row],[Diabetic]]="Yes"),"Yes","No")</f>
        <v>No</v>
      </c>
      <c r="P318" t="str">
        <f>IF(OR(Table1[[#This Row],[Smoker]]="Yes",Table1[[#This Row],[Diabetic]]="Yes"),"Yes","No")</f>
        <v>No</v>
      </c>
      <c r="Q318" s="1" t="str">
        <f>IF(OR(Table1[[#This Row],[Systolic]]&gt;125,Table1[[#This Row],[Diastolic]]&gt;90),"High","Normal")</f>
        <v>High</v>
      </c>
      <c r="R318" s="1">
        <f>Table1[[#This Row],[Discharge_Date]]-Table1[[#This Row],[Admission_Date]]</f>
        <v>3</v>
      </c>
      <c r="S318" s="1"/>
    </row>
    <row r="319" spans="1:19" x14ac:dyDescent="0.3">
      <c r="A319" t="s">
        <v>340</v>
      </c>
      <c r="B319">
        <v>86</v>
      </c>
      <c r="C319" t="s">
        <v>12</v>
      </c>
      <c r="D319">
        <v>26.7</v>
      </c>
      <c r="E319">
        <v>101</v>
      </c>
      <c r="F319">
        <v>120</v>
      </c>
      <c r="G319" t="s">
        <v>14</v>
      </c>
      <c r="H319" t="s">
        <v>13</v>
      </c>
      <c r="I319" t="s">
        <v>15</v>
      </c>
      <c r="J319" s="2">
        <v>3067.31</v>
      </c>
      <c r="K319" s="3">
        <v>45758</v>
      </c>
      <c r="L319" s="3">
        <v>45763</v>
      </c>
      <c r="M319" t="s">
        <v>23</v>
      </c>
      <c r="N319" t="str">
        <f>IF(Table1[[#This Row],[Age]]&lt;25,"&lt; 25",IF(Table1[[#This Row],[Age]]&lt;36,"25-35",IF(Table1[[#This Row],[Age]]&lt;51,"36-50",IF(Table1[[#This Row],[Age]]&lt;66,"51-65",IF(Table1[[#This Row],[Age]]&gt;65,"&gt;65","none")))))</f>
        <v>&gt;65</v>
      </c>
      <c r="O319" t="str">
        <f>IF(AND(Table1[[#This Row],[Smoker]]="Yes",Table1[[#This Row],[Diabetic]]="Yes"),"Yes","No")</f>
        <v>No</v>
      </c>
      <c r="P319" t="str">
        <f>IF(OR(Table1[[#This Row],[Smoker]]="Yes",Table1[[#This Row],[Diabetic]]="Yes"),"Yes","No")</f>
        <v>Yes</v>
      </c>
      <c r="Q319" s="1" t="str">
        <f>IF(OR(Table1[[#This Row],[Systolic]]&gt;125,Table1[[#This Row],[Diastolic]]&gt;90),"High","Normal")</f>
        <v>High</v>
      </c>
      <c r="R319" s="1">
        <f>Table1[[#This Row],[Discharge_Date]]-Table1[[#This Row],[Admission_Date]]</f>
        <v>5</v>
      </c>
      <c r="S319" s="1"/>
    </row>
    <row r="320" spans="1:19" x14ac:dyDescent="0.3">
      <c r="A320" t="s">
        <v>341</v>
      </c>
      <c r="B320">
        <v>32</v>
      </c>
      <c r="C320" t="s">
        <v>12</v>
      </c>
      <c r="D320">
        <v>26.5</v>
      </c>
      <c r="E320">
        <v>90</v>
      </c>
      <c r="F320">
        <v>63</v>
      </c>
      <c r="G320" t="s">
        <v>14</v>
      </c>
      <c r="H320" t="s">
        <v>13</v>
      </c>
      <c r="I320" t="s">
        <v>25</v>
      </c>
      <c r="J320" s="2">
        <v>106.04</v>
      </c>
      <c r="K320" s="3">
        <v>45910</v>
      </c>
      <c r="L320" s="3">
        <v>45913</v>
      </c>
      <c r="M320" t="s">
        <v>23</v>
      </c>
      <c r="N320" t="str">
        <f>IF(Table1[[#This Row],[Age]]&lt;25,"&lt; 25",IF(Table1[[#This Row],[Age]]&lt;36,"25-35",IF(Table1[[#This Row],[Age]]&lt;51,"36-50",IF(Table1[[#This Row],[Age]]&lt;66,"51-65",IF(Table1[[#This Row],[Age]]&gt;65,"&gt;65","none")))))</f>
        <v>25-35</v>
      </c>
      <c r="O320" t="str">
        <f>IF(AND(Table1[[#This Row],[Smoker]]="Yes",Table1[[#This Row],[Diabetic]]="Yes"),"Yes","No")</f>
        <v>No</v>
      </c>
      <c r="P320" t="str">
        <f>IF(OR(Table1[[#This Row],[Smoker]]="Yes",Table1[[#This Row],[Diabetic]]="Yes"),"Yes","No")</f>
        <v>Yes</v>
      </c>
      <c r="Q320" s="1" t="str">
        <f>IF(OR(Table1[[#This Row],[Systolic]]&gt;125,Table1[[#This Row],[Diastolic]]&gt;90),"High","Normal")</f>
        <v>Normal</v>
      </c>
      <c r="R320" s="1">
        <f>Table1[[#This Row],[Discharge_Date]]-Table1[[#This Row],[Admission_Date]]</f>
        <v>3</v>
      </c>
      <c r="S320" s="1"/>
    </row>
    <row r="321" spans="1:19" x14ac:dyDescent="0.3">
      <c r="A321" t="s">
        <v>342</v>
      </c>
      <c r="B321">
        <v>43</v>
      </c>
      <c r="C321" t="s">
        <v>12</v>
      </c>
      <c r="D321">
        <v>26.3</v>
      </c>
      <c r="E321">
        <v>165</v>
      </c>
      <c r="F321">
        <v>92</v>
      </c>
      <c r="G321" t="s">
        <v>14</v>
      </c>
      <c r="H321" t="s">
        <v>13</v>
      </c>
      <c r="I321" t="s">
        <v>34</v>
      </c>
      <c r="J321" s="2">
        <v>4314.3599999999997</v>
      </c>
      <c r="K321" s="3">
        <v>45743</v>
      </c>
      <c r="L321" s="3">
        <v>45746</v>
      </c>
      <c r="M321" t="s">
        <v>19</v>
      </c>
      <c r="N321" t="str">
        <f>IF(Table1[[#This Row],[Age]]&lt;25,"&lt; 25",IF(Table1[[#This Row],[Age]]&lt;36,"25-35",IF(Table1[[#This Row],[Age]]&lt;51,"36-50",IF(Table1[[#This Row],[Age]]&lt;66,"51-65",IF(Table1[[#This Row],[Age]]&gt;65,"&gt;65","none")))))</f>
        <v>36-50</v>
      </c>
      <c r="O321" t="str">
        <f>IF(AND(Table1[[#This Row],[Smoker]]="Yes",Table1[[#This Row],[Diabetic]]="Yes"),"Yes","No")</f>
        <v>No</v>
      </c>
      <c r="P321" t="str">
        <f>IF(OR(Table1[[#This Row],[Smoker]]="Yes",Table1[[#This Row],[Diabetic]]="Yes"),"Yes","No")</f>
        <v>Yes</v>
      </c>
      <c r="Q321" s="1" t="str">
        <f>IF(OR(Table1[[#This Row],[Systolic]]&gt;125,Table1[[#This Row],[Diastolic]]&gt;90),"High","Normal")</f>
        <v>High</v>
      </c>
      <c r="R321" s="1">
        <f>Table1[[#This Row],[Discharge_Date]]-Table1[[#This Row],[Admission_Date]]</f>
        <v>3</v>
      </c>
      <c r="S321" s="1"/>
    </row>
    <row r="322" spans="1:19" x14ac:dyDescent="0.3">
      <c r="A322" t="s">
        <v>343</v>
      </c>
      <c r="B322">
        <v>75</v>
      </c>
      <c r="C322" t="s">
        <v>18</v>
      </c>
      <c r="D322">
        <v>19.100000000000001</v>
      </c>
      <c r="E322">
        <v>124</v>
      </c>
      <c r="F322">
        <v>118</v>
      </c>
      <c r="G322" t="s">
        <v>14</v>
      </c>
      <c r="H322" t="s">
        <v>13</v>
      </c>
      <c r="I322" t="s">
        <v>34</v>
      </c>
      <c r="J322" s="2">
        <v>1241.18</v>
      </c>
      <c r="K322" s="3">
        <v>45712</v>
      </c>
      <c r="L322" s="3">
        <v>45716</v>
      </c>
      <c r="M322" t="s">
        <v>23</v>
      </c>
      <c r="N322" t="str">
        <f>IF(Table1[[#This Row],[Age]]&lt;25,"&lt; 25",IF(Table1[[#This Row],[Age]]&lt;36,"25-35",IF(Table1[[#This Row],[Age]]&lt;51,"36-50",IF(Table1[[#This Row],[Age]]&lt;66,"51-65",IF(Table1[[#This Row],[Age]]&gt;65,"&gt;65","none")))))</f>
        <v>&gt;65</v>
      </c>
      <c r="O322" t="str">
        <f>IF(AND(Table1[[#This Row],[Smoker]]="Yes",Table1[[#This Row],[Diabetic]]="Yes"),"Yes","No")</f>
        <v>No</v>
      </c>
      <c r="P322" t="str">
        <f>IF(OR(Table1[[#This Row],[Smoker]]="Yes",Table1[[#This Row],[Diabetic]]="Yes"),"Yes","No")</f>
        <v>Yes</v>
      </c>
      <c r="Q322" s="1" t="str">
        <f>IF(OR(Table1[[#This Row],[Systolic]]&gt;125,Table1[[#This Row],[Diastolic]]&gt;90),"High","Normal")</f>
        <v>High</v>
      </c>
      <c r="R322" s="1">
        <f>Table1[[#This Row],[Discharge_Date]]-Table1[[#This Row],[Admission_Date]]</f>
        <v>4</v>
      </c>
      <c r="S322" s="1"/>
    </row>
    <row r="323" spans="1:19" x14ac:dyDescent="0.3">
      <c r="A323" t="s">
        <v>344</v>
      </c>
      <c r="B323">
        <v>31</v>
      </c>
      <c r="C323" t="s">
        <v>18</v>
      </c>
      <c r="D323">
        <v>31.8</v>
      </c>
      <c r="E323">
        <v>178</v>
      </c>
      <c r="F323">
        <v>84</v>
      </c>
      <c r="G323" t="s">
        <v>13</v>
      </c>
      <c r="H323" t="s">
        <v>13</v>
      </c>
      <c r="I323" t="s">
        <v>21</v>
      </c>
      <c r="J323" s="2">
        <v>4575.45</v>
      </c>
      <c r="K323" s="3">
        <v>45824</v>
      </c>
      <c r="L323" s="3">
        <v>45827</v>
      </c>
      <c r="M323" t="s">
        <v>23</v>
      </c>
      <c r="N323" t="str">
        <f>IF(Table1[[#This Row],[Age]]&lt;25,"&lt; 25",IF(Table1[[#This Row],[Age]]&lt;36,"25-35",IF(Table1[[#This Row],[Age]]&lt;51,"36-50",IF(Table1[[#This Row],[Age]]&lt;66,"51-65",IF(Table1[[#This Row],[Age]]&gt;65,"&gt;65","none")))))</f>
        <v>25-35</v>
      </c>
      <c r="O323" t="str">
        <f>IF(AND(Table1[[#This Row],[Smoker]]="Yes",Table1[[#This Row],[Diabetic]]="Yes"),"Yes","No")</f>
        <v>No</v>
      </c>
      <c r="P323" t="str">
        <f>IF(OR(Table1[[#This Row],[Smoker]]="Yes",Table1[[#This Row],[Diabetic]]="Yes"),"Yes","No")</f>
        <v>No</v>
      </c>
      <c r="Q323" s="1" t="str">
        <f>IF(OR(Table1[[#This Row],[Systolic]]&gt;125,Table1[[#This Row],[Diastolic]]&gt;90),"High","Normal")</f>
        <v>High</v>
      </c>
      <c r="R323" s="1">
        <f>Table1[[#This Row],[Discharge_Date]]-Table1[[#This Row],[Admission_Date]]</f>
        <v>3</v>
      </c>
      <c r="S323" s="1"/>
    </row>
    <row r="324" spans="1:19" x14ac:dyDescent="0.3">
      <c r="A324" t="s">
        <v>345</v>
      </c>
      <c r="B324">
        <v>43</v>
      </c>
      <c r="C324" t="s">
        <v>18</v>
      </c>
      <c r="D324">
        <v>27.9</v>
      </c>
      <c r="E324">
        <v>167</v>
      </c>
      <c r="F324">
        <v>90</v>
      </c>
      <c r="G324" t="s">
        <v>14</v>
      </c>
      <c r="H324" t="s">
        <v>13</v>
      </c>
      <c r="I324" t="s">
        <v>21</v>
      </c>
      <c r="J324" s="2">
        <v>3215.06</v>
      </c>
      <c r="K324" s="3">
        <v>45916</v>
      </c>
      <c r="L324" s="3">
        <v>45925</v>
      </c>
      <c r="M324" t="s">
        <v>23</v>
      </c>
      <c r="N324" t="str">
        <f>IF(Table1[[#This Row],[Age]]&lt;25,"&lt; 25",IF(Table1[[#This Row],[Age]]&lt;36,"25-35",IF(Table1[[#This Row],[Age]]&lt;51,"36-50",IF(Table1[[#This Row],[Age]]&lt;66,"51-65",IF(Table1[[#This Row],[Age]]&gt;65,"&gt;65","none")))))</f>
        <v>36-50</v>
      </c>
      <c r="O324" t="str">
        <f>IF(AND(Table1[[#This Row],[Smoker]]="Yes",Table1[[#This Row],[Diabetic]]="Yes"),"Yes","No")</f>
        <v>No</v>
      </c>
      <c r="P324" t="str">
        <f>IF(OR(Table1[[#This Row],[Smoker]]="Yes",Table1[[#This Row],[Diabetic]]="Yes"),"Yes","No")</f>
        <v>Yes</v>
      </c>
      <c r="Q324" s="1" t="str">
        <f>IF(OR(Table1[[#This Row],[Systolic]]&gt;125,Table1[[#This Row],[Diastolic]]&gt;90),"High","Normal")</f>
        <v>High</v>
      </c>
      <c r="R324" s="1">
        <f>Table1[[#This Row],[Discharge_Date]]-Table1[[#This Row],[Admission_Date]]</f>
        <v>9</v>
      </c>
      <c r="S324" s="1"/>
    </row>
    <row r="325" spans="1:19" x14ac:dyDescent="0.3">
      <c r="A325" t="s">
        <v>346</v>
      </c>
      <c r="B325">
        <v>28</v>
      </c>
      <c r="C325" t="s">
        <v>12</v>
      </c>
      <c r="D325">
        <v>30.1</v>
      </c>
      <c r="E325">
        <v>128</v>
      </c>
      <c r="F325">
        <v>84</v>
      </c>
      <c r="G325" t="s">
        <v>13</v>
      </c>
      <c r="H325" t="s">
        <v>14</v>
      </c>
      <c r="I325" t="s">
        <v>34</v>
      </c>
      <c r="J325" s="2">
        <v>1972.5</v>
      </c>
      <c r="K325" s="3">
        <v>45815</v>
      </c>
      <c r="L325" s="3">
        <v>45818</v>
      </c>
      <c r="M325" t="s">
        <v>23</v>
      </c>
      <c r="N325" t="str">
        <f>IF(Table1[[#This Row],[Age]]&lt;25,"&lt; 25",IF(Table1[[#This Row],[Age]]&lt;36,"25-35",IF(Table1[[#This Row],[Age]]&lt;51,"36-50",IF(Table1[[#This Row],[Age]]&lt;66,"51-65",IF(Table1[[#This Row],[Age]]&gt;65,"&gt;65","none")))))</f>
        <v>25-35</v>
      </c>
      <c r="O325" t="str">
        <f>IF(AND(Table1[[#This Row],[Smoker]]="Yes",Table1[[#This Row],[Diabetic]]="Yes"),"Yes","No")</f>
        <v>No</v>
      </c>
      <c r="P325" t="str">
        <f>IF(OR(Table1[[#This Row],[Smoker]]="Yes",Table1[[#This Row],[Diabetic]]="Yes"),"Yes","No")</f>
        <v>Yes</v>
      </c>
      <c r="Q325" s="1" t="str">
        <f>IF(OR(Table1[[#This Row],[Systolic]]&gt;125,Table1[[#This Row],[Diastolic]]&gt;90),"High","Normal")</f>
        <v>High</v>
      </c>
      <c r="R325" s="1">
        <f>Table1[[#This Row],[Discharge_Date]]-Table1[[#This Row],[Admission_Date]]</f>
        <v>3</v>
      </c>
      <c r="S325" s="1"/>
    </row>
    <row r="326" spans="1:19" x14ac:dyDescent="0.3">
      <c r="A326" t="s">
        <v>347</v>
      </c>
      <c r="B326">
        <v>88</v>
      </c>
      <c r="C326" t="s">
        <v>18</v>
      </c>
      <c r="D326">
        <v>23</v>
      </c>
      <c r="E326">
        <v>125</v>
      </c>
      <c r="F326">
        <v>105</v>
      </c>
      <c r="G326" t="s">
        <v>14</v>
      </c>
      <c r="H326" t="s">
        <v>13</v>
      </c>
      <c r="I326" t="s">
        <v>25</v>
      </c>
      <c r="J326" s="2">
        <v>1081.21</v>
      </c>
      <c r="K326" s="3">
        <v>45801</v>
      </c>
      <c r="L326" s="3">
        <v>45809</v>
      </c>
      <c r="M326" t="s">
        <v>16</v>
      </c>
      <c r="N326" t="str">
        <f>IF(Table1[[#This Row],[Age]]&lt;25,"&lt; 25",IF(Table1[[#This Row],[Age]]&lt;36,"25-35",IF(Table1[[#This Row],[Age]]&lt;51,"36-50",IF(Table1[[#This Row],[Age]]&lt;66,"51-65",IF(Table1[[#This Row],[Age]]&gt;65,"&gt;65","none")))))</f>
        <v>&gt;65</v>
      </c>
      <c r="O326" t="str">
        <f>IF(AND(Table1[[#This Row],[Smoker]]="Yes",Table1[[#This Row],[Diabetic]]="Yes"),"Yes","No")</f>
        <v>No</v>
      </c>
      <c r="P326" t="str">
        <f>IF(OR(Table1[[#This Row],[Smoker]]="Yes",Table1[[#This Row],[Diabetic]]="Yes"),"Yes","No")</f>
        <v>Yes</v>
      </c>
      <c r="Q326" s="1" t="str">
        <f>IF(OR(Table1[[#This Row],[Systolic]]&gt;125,Table1[[#This Row],[Diastolic]]&gt;90),"High","Normal")</f>
        <v>High</v>
      </c>
      <c r="R326" s="1">
        <f>Table1[[#This Row],[Discharge_Date]]-Table1[[#This Row],[Admission_Date]]</f>
        <v>8</v>
      </c>
      <c r="S326" s="1"/>
    </row>
    <row r="327" spans="1:19" x14ac:dyDescent="0.3">
      <c r="A327" t="s">
        <v>348</v>
      </c>
      <c r="B327">
        <v>28</v>
      </c>
      <c r="C327" t="s">
        <v>18</v>
      </c>
      <c r="D327">
        <v>25</v>
      </c>
      <c r="E327">
        <v>180</v>
      </c>
      <c r="F327">
        <v>110</v>
      </c>
      <c r="G327" t="s">
        <v>14</v>
      </c>
      <c r="H327" t="s">
        <v>14</v>
      </c>
      <c r="I327" t="s">
        <v>32</v>
      </c>
      <c r="J327" s="2">
        <v>4196.5</v>
      </c>
      <c r="K327" s="3">
        <v>45854</v>
      </c>
      <c r="L327" s="3">
        <v>45867</v>
      </c>
      <c r="M327" t="s">
        <v>19</v>
      </c>
      <c r="N327" t="str">
        <f>IF(Table1[[#This Row],[Age]]&lt;25,"&lt; 25",IF(Table1[[#This Row],[Age]]&lt;36,"25-35",IF(Table1[[#This Row],[Age]]&lt;51,"36-50",IF(Table1[[#This Row],[Age]]&lt;66,"51-65",IF(Table1[[#This Row],[Age]]&gt;65,"&gt;65","none")))))</f>
        <v>25-35</v>
      </c>
      <c r="O327" t="str">
        <f>IF(AND(Table1[[#This Row],[Smoker]]="Yes",Table1[[#This Row],[Diabetic]]="Yes"),"Yes","No")</f>
        <v>Yes</v>
      </c>
      <c r="P327" t="str">
        <f>IF(OR(Table1[[#This Row],[Smoker]]="Yes",Table1[[#This Row],[Diabetic]]="Yes"),"Yes","No")</f>
        <v>Yes</v>
      </c>
      <c r="Q327" s="1" t="str">
        <f>IF(OR(Table1[[#This Row],[Systolic]]&gt;125,Table1[[#This Row],[Diastolic]]&gt;90),"High","Normal")</f>
        <v>High</v>
      </c>
      <c r="R327" s="1">
        <f>Table1[[#This Row],[Discharge_Date]]-Table1[[#This Row],[Admission_Date]]</f>
        <v>13</v>
      </c>
      <c r="S327" s="1"/>
    </row>
    <row r="328" spans="1:19" x14ac:dyDescent="0.3">
      <c r="A328" t="s">
        <v>349</v>
      </c>
      <c r="B328">
        <v>82</v>
      </c>
      <c r="C328" t="s">
        <v>12</v>
      </c>
      <c r="D328">
        <v>39.1</v>
      </c>
      <c r="E328">
        <v>116</v>
      </c>
      <c r="F328">
        <v>60</v>
      </c>
      <c r="G328" t="s">
        <v>13</v>
      </c>
      <c r="H328" t="s">
        <v>13</v>
      </c>
      <c r="I328" t="s">
        <v>34</v>
      </c>
      <c r="J328" s="2">
        <v>4173.49</v>
      </c>
      <c r="K328" s="3">
        <v>45571</v>
      </c>
      <c r="L328" s="3">
        <v>45585</v>
      </c>
      <c r="M328" t="s">
        <v>23</v>
      </c>
      <c r="N328" t="str">
        <f>IF(Table1[[#This Row],[Age]]&lt;25,"&lt; 25",IF(Table1[[#This Row],[Age]]&lt;36,"25-35",IF(Table1[[#This Row],[Age]]&lt;51,"36-50",IF(Table1[[#This Row],[Age]]&lt;66,"51-65",IF(Table1[[#This Row],[Age]]&gt;65,"&gt;65","none")))))</f>
        <v>&gt;65</v>
      </c>
      <c r="O328" t="str">
        <f>IF(AND(Table1[[#This Row],[Smoker]]="Yes",Table1[[#This Row],[Diabetic]]="Yes"),"Yes","No")</f>
        <v>No</v>
      </c>
      <c r="P328" t="str">
        <f>IF(OR(Table1[[#This Row],[Smoker]]="Yes",Table1[[#This Row],[Diabetic]]="Yes"),"Yes","No")</f>
        <v>No</v>
      </c>
      <c r="Q328" s="1" t="str">
        <f>IF(OR(Table1[[#This Row],[Systolic]]&gt;125,Table1[[#This Row],[Diastolic]]&gt;90),"High","Normal")</f>
        <v>Normal</v>
      </c>
      <c r="R328" s="1">
        <f>Table1[[#This Row],[Discharge_Date]]-Table1[[#This Row],[Admission_Date]]</f>
        <v>14</v>
      </c>
      <c r="S328" s="1"/>
    </row>
    <row r="329" spans="1:19" x14ac:dyDescent="0.3">
      <c r="A329" t="s">
        <v>350</v>
      </c>
      <c r="B329">
        <v>73</v>
      </c>
      <c r="C329" t="s">
        <v>12</v>
      </c>
      <c r="D329">
        <v>18</v>
      </c>
      <c r="E329">
        <v>103</v>
      </c>
      <c r="F329">
        <v>98</v>
      </c>
      <c r="G329" t="s">
        <v>14</v>
      </c>
      <c r="H329" t="s">
        <v>14</v>
      </c>
      <c r="I329" t="s">
        <v>15</v>
      </c>
      <c r="J329" s="2">
        <v>1219.97</v>
      </c>
      <c r="K329" s="3">
        <v>45724</v>
      </c>
      <c r="L329" s="3">
        <v>45735</v>
      </c>
      <c r="M329" t="s">
        <v>16</v>
      </c>
      <c r="N329" t="str">
        <f>IF(Table1[[#This Row],[Age]]&lt;25,"&lt; 25",IF(Table1[[#This Row],[Age]]&lt;36,"25-35",IF(Table1[[#This Row],[Age]]&lt;51,"36-50",IF(Table1[[#This Row],[Age]]&lt;66,"51-65",IF(Table1[[#This Row],[Age]]&gt;65,"&gt;65","none")))))</f>
        <v>&gt;65</v>
      </c>
      <c r="O329" t="str">
        <f>IF(AND(Table1[[#This Row],[Smoker]]="Yes",Table1[[#This Row],[Diabetic]]="Yes"),"Yes","No")</f>
        <v>Yes</v>
      </c>
      <c r="P329" t="str">
        <f>IF(OR(Table1[[#This Row],[Smoker]]="Yes",Table1[[#This Row],[Diabetic]]="Yes"),"Yes","No")</f>
        <v>Yes</v>
      </c>
      <c r="Q329" s="1" t="str">
        <f>IF(OR(Table1[[#This Row],[Systolic]]&gt;125,Table1[[#This Row],[Diastolic]]&gt;90),"High","Normal")</f>
        <v>High</v>
      </c>
      <c r="R329" s="1">
        <f>Table1[[#This Row],[Discharge_Date]]-Table1[[#This Row],[Admission_Date]]</f>
        <v>11</v>
      </c>
      <c r="S329" s="1"/>
    </row>
    <row r="330" spans="1:19" x14ac:dyDescent="0.3">
      <c r="A330" t="s">
        <v>351</v>
      </c>
      <c r="B330">
        <v>20</v>
      </c>
      <c r="C330" t="s">
        <v>18</v>
      </c>
      <c r="D330">
        <v>39.1</v>
      </c>
      <c r="E330">
        <v>99</v>
      </c>
      <c r="F330">
        <v>97</v>
      </c>
      <c r="G330" t="s">
        <v>13</v>
      </c>
      <c r="H330" t="s">
        <v>14</v>
      </c>
      <c r="I330" t="s">
        <v>32</v>
      </c>
      <c r="J330" s="2">
        <v>3702.96</v>
      </c>
      <c r="K330" s="3">
        <v>45807</v>
      </c>
      <c r="L330" s="3">
        <v>45816</v>
      </c>
      <c r="M330" t="s">
        <v>23</v>
      </c>
      <c r="N330" t="str">
        <f>IF(Table1[[#This Row],[Age]]&lt;25,"&lt; 25",IF(Table1[[#This Row],[Age]]&lt;36,"25-35",IF(Table1[[#This Row],[Age]]&lt;51,"36-50",IF(Table1[[#This Row],[Age]]&lt;66,"51-65",IF(Table1[[#This Row],[Age]]&gt;65,"&gt;65","none")))))</f>
        <v>&lt; 25</v>
      </c>
      <c r="O330" t="str">
        <f>IF(AND(Table1[[#This Row],[Smoker]]="Yes",Table1[[#This Row],[Diabetic]]="Yes"),"Yes","No")</f>
        <v>No</v>
      </c>
      <c r="P330" t="str">
        <f>IF(OR(Table1[[#This Row],[Smoker]]="Yes",Table1[[#This Row],[Diabetic]]="Yes"),"Yes","No")</f>
        <v>Yes</v>
      </c>
      <c r="Q330" s="1" t="str">
        <f>IF(OR(Table1[[#This Row],[Systolic]]&gt;125,Table1[[#This Row],[Diastolic]]&gt;90),"High","Normal")</f>
        <v>High</v>
      </c>
      <c r="R330" s="1">
        <f>Table1[[#This Row],[Discharge_Date]]-Table1[[#This Row],[Admission_Date]]</f>
        <v>9</v>
      </c>
      <c r="S330" s="1"/>
    </row>
    <row r="331" spans="1:19" x14ac:dyDescent="0.3">
      <c r="A331" t="s">
        <v>352</v>
      </c>
      <c r="B331">
        <v>57</v>
      </c>
      <c r="C331" t="s">
        <v>18</v>
      </c>
      <c r="D331">
        <v>35.700000000000003</v>
      </c>
      <c r="E331">
        <v>151</v>
      </c>
      <c r="F331">
        <v>119</v>
      </c>
      <c r="G331" t="s">
        <v>14</v>
      </c>
      <c r="H331" t="s">
        <v>13</v>
      </c>
      <c r="I331" t="s">
        <v>25</v>
      </c>
      <c r="J331" s="2">
        <v>111.54</v>
      </c>
      <c r="K331" s="3">
        <v>45764</v>
      </c>
      <c r="L331" s="3">
        <v>45768</v>
      </c>
      <c r="M331" t="s">
        <v>16</v>
      </c>
      <c r="N331" t="str">
        <f>IF(Table1[[#This Row],[Age]]&lt;25,"&lt; 25",IF(Table1[[#This Row],[Age]]&lt;36,"25-35",IF(Table1[[#This Row],[Age]]&lt;51,"36-50",IF(Table1[[#This Row],[Age]]&lt;66,"51-65",IF(Table1[[#This Row],[Age]]&gt;65,"&gt;65","none")))))</f>
        <v>51-65</v>
      </c>
      <c r="O331" t="str">
        <f>IF(AND(Table1[[#This Row],[Smoker]]="Yes",Table1[[#This Row],[Diabetic]]="Yes"),"Yes","No")</f>
        <v>No</v>
      </c>
      <c r="P331" t="str">
        <f>IF(OR(Table1[[#This Row],[Smoker]]="Yes",Table1[[#This Row],[Diabetic]]="Yes"),"Yes","No")</f>
        <v>Yes</v>
      </c>
      <c r="Q331" s="1" t="str">
        <f>IF(OR(Table1[[#This Row],[Systolic]]&gt;125,Table1[[#This Row],[Diastolic]]&gt;90),"High","Normal")</f>
        <v>High</v>
      </c>
      <c r="R331" s="1">
        <f>Table1[[#This Row],[Discharge_Date]]-Table1[[#This Row],[Admission_Date]]</f>
        <v>4</v>
      </c>
      <c r="S331" s="1"/>
    </row>
    <row r="332" spans="1:19" x14ac:dyDescent="0.3">
      <c r="A332" t="s">
        <v>353</v>
      </c>
      <c r="B332">
        <v>24</v>
      </c>
      <c r="C332" t="s">
        <v>12</v>
      </c>
      <c r="D332">
        <v>20.100000000000001</v>
      </c>
      <c r="E332">
        <v>140</v>
      </c>
      <c r="F332">
        <v>108</v>
      </c>
      <c r="G332" t="s">
        <v>13</v>
      </c>
      <c r="H332" t="s">
        <v>13</v>
      </c>
      <c r="I332" t="s">
        <v>32</v>
      </c>
      <c r="J332" s="2">
        <v>492.22</v>
      </c>
      <c r="K332" s="3">
        <v>45598</v>
      </c>
      <c r="L332" s="3">
        <v>45607</v>
      </c>
      <c r="M332" t="s">
        <v>19</v>
      </c>
      <c r="N332" t="str">
        <f>IF(Table1[[#This Row],[Age]]&lt;25,"&lt; 25",IF(Table1[[#This Row],[Age]]&lt;36,"25-35",IF(Table1[[#This Row],[Age]]&lt;51,"36-50",IF(Table1[[#This Row],[Age]]&lt;66,"51-65",IF(Table1[[#This Row],[Age]]&gt;65,"&gt;65","none")))))</f>
        <v>&lt; 25</v>
      </c>
      <c r="O332" t="str">
        <f>IF(AND(Table1[[#This Row],[Smoker]]="Yes",Table1[[#This Row],[Diabetic]]="Yes"),"Yes","No")</f>
        <v>No</v>
      </c>
      <c r="P332" t="str">
        <f>IF(OR(Table1[[#This Row],[Smoker]]="Yes",Table1[[#This Row],[Diabetic]]="Yes"),"Yes","No")</f>
        <v>No</v>
      </c>
      <c r="Q332" s="1" t="str">
        <f>IF(OR(Table1[[#This Row],[Systolic]]&gt;125,Table1[[#This Row],[Diastolic]]&gt;90),"High","Normal")</f>
        <v>High</v>
      </c>
      <c r="R332" s="1">
        <f>Table1[[#This Row],[Discharge_Date]]-Table1[[#This Row],[Admission_Date]]</f>
        <v>9</v>
      </c>
      <c r="S332" s="1"/>
    </row>
    <row r="333" spans="1:19" x14ac:dyDescent="0.3">
      <c r="A333" t="s">
        <v>354</v>
      </c>
      <c r="B333">
        <v>69</v>
      </c>
      <c r="C333" t="s">
        <v>12</v>
      </c>
      <c r="D333">
        <v>26.7</v>
      </c>
      <c r="E333">
        <v>116</v>
      </c>
      <c r="F333">
        <v>91</v>
      </c>
      <c r="G333" t="s">
        <v>13</v>
      </c>
      <c r="H333" t="s">
        <v>14</v>
      </c>
      <c r="I333" t="s">
        <v>21</v>
      </c>
      <c r="J333" s="2">
        <v>3855.05</v>
      </c>
      <c r="K333" s="3">
        <v>45828</v>
      </c>
      <c r="L333" s="3">
        <v>45835</v>
      </c>
      <c r="M333" t="s">
        <v>19</v>
      </c>
      <c r="N333" t="str">
        <f>IF(Table1[[#This Row],[Age]]&lt;25,"&lt; 25",IF(Table1[[#This Row],[Age]]&lt;36,"25-35",IF(Table1[[#This Row],[Age]]&lt;51,"36-50",IF(Table1[[#This Row],[Age]]&lt;66,"51-65",IF(Table1[[#This Row],[Age]]&gt;65,"&gt;65","none")))))</f>
        <v>&gt;65</v>
      </c>
      <c r="O333" t="str">
        <f>IF(AND(Table1[[#This Row],[Smoker]]="Yes",Table1[[#This Row],[Diabetic]]="Yes"),"Yes","No")</f>
        <v>No</v>
      </c>
      <c r="P333" t="str">
        <f>IF(OR(Table1[[#This Row],[Smoker]]="Yes",Table1[[#This Row],[Diabetic]]="Yes"),"Yes","No")</f>
        <v>Yes</v>
      </c>
      <c r="Q333" s="1" t="str">
        <f>IF(OR(Table1[[#This Row],[Systolic]]&gt;125,Table1[[#This Row],[Diastolic]]&gt;90),"High","Normal")</f>
        <v>High</v>
      </c>
      <c r="R333" s="1">
        <f>Table1[[#This Row],[Discharge_Date]]-Table1[[#This Row],[Admission_Date]]</f>
        <v>7</v>
      </c>
      <c r="S333" s="1"/>
    </row>
    <row r="334" spans="1:19" x14ac:dyDescent="0.3">
      <c r="A334" t="s">
        <v>355</v>
      </c>
      <c r="B334">
        <v>64</v>
      </c>
      <c r="C334" t="s">
        <v>12</v>
      </c>
      <c r="D334">
        <v>20.2</v>
      </c>
      <c r="E334">
        <v>163</v>
      </c>
      <c r="F334">
        <v>67</v>
      </c>
      <c r="G334" t="s">
        <v>13</v>
      </c>
      <c r="H334" t="s">
        <v>13</v>
      </c>
      <c r="I334" t="s">
        <v>32</v>
      </c>
      <c r="J334" s="2">
        <v>3380.75</v>
      </c>
      <c r="K334" s="3">
        <v>45622</v>
      </c>
      <c r="L334" s="3">
        <v>45636</v>
      </c>
      <c r="M334" t="s">
        <v>19</v>
      </c>
      <c r="N334" t="str">
        <f>IF(Table1[[#This Row],[Age]]&lt;25,"&lt; 25",IF(Table1[[#This Row],[Age]]&lt;36,"25-35",IF(Table1[[#This Row],[Age]]&lt;51,"36-50",IF(Table1[[#This Row],[Age]]&lt;66,"51-65",IF(Table1[[#This Row],[Age]]&gt;65,"&gt;65","none")))))</f>
        <v>51-65</v>
      </c>
      <c r="O334" t="str">
        <f>IF(AND(Table1[[#This Row],[Smoker]]="Yes",Table1[[#This Row],[Diabetic]]="Yes"),"Yes","No")</f>
        <v>No</v>
      </c>
      <c r="P334" t="str">
        <f>IF(OR(Table1[[#This Row],[Smoker]]="Yes",Table1[[#This Row],[Diabetic]]="Yes"),"Yes","No")</f>
        <v>No</v>
      </c>
      <c r="Q334" s="1" t="str">
        <f>IF(OR(Table1[[#This Row],[Systolic]]&gt;125,Table1[[#This Row],[Diastolic]]&gt;90),"High","Normal")</f>
        <v>High</v>
      </c>
      <c r="R334" s="1">
        <f>Table1[[#This Row],[Discharge_Date]]-Table1[[#This Row],[Admission_Date]]</f>
        <v>14</v>
      </c>
      <c r="S334" s="1"/>
    </row>
    <row r="335" spans="1:19" x14ac:dyDescent="0.3">
      <c r="A335" t="s">
        <v>356</v>
      </c>
      <c r="B335">
        <v>86</v>
      </c>
      <c r="C335" t="s">
        <v>18</v>
      </c>
      <c r="D335">
        <v>36</v>
      </c>
      <c r="E335">
        <v>98</v>
      </c>
      <c r="F335">
        <v>72</v>
      </c>
      <c r="G335" t="s">
        <v>13</v>
      </c>
      <c r="H335" t="s">
        <v>14</v>
      </c>
      <c r="I335" t="s">
        <v>34</v>
      </c>
      <c r="J335" s="2">
        <v>589.65</v>
      </c>
      <c r="K335" s="3">
        <v>45906</v>
      </c>
      <c r="L335" s="3">
        <v>45919</v>
      </c>
      <c r="M335" t="s">
        <v>19</v>
      </c>
      <c r="N335" t="str">
        <f>IF(Table1[[#This Row],[Age]]&lt;25,"&lt; 25",IF(Table1[[#This Row],[Age]]&lt;36,"25-35",IF(Table1[[#This Row],[Age]]&lt;51,"36-50",IF(Table1[[#This Row],[Age]]&lt;66,"51-65",IF(Table1[[#This Row],[Age]]&gt;65,"&gt;65","none")))))</f>
        <v>&gt;65</v>
      </c>
      <c r="O335" t="str">
        <f>IF(AND(Table1[[#This Row],[Smoker]]="Yes",Table1[[#This Row],[Diabetic]]="Yes"),"Yes","No")</f>
        <v>No</v>
      </c>
      <c r="P335" t="str">
        <f>IF(OR(Table1[[#This Row],[Smoker]]="Yes",Table1[[#This Row],[Diabetic]]="Yes"),"Yes","No")</f>
        <v>Yes</v>
      </c>
      <c r="Q335" s="1" t="str">
        <f>IF(OR(Table1[[#This Row],[Systolic]]&gt;125,Table1[[#This Row],[Diastolic]]&gt;90),"High","Normal")</f>
        <v>Normal</v>
      </c>
      <c r="R335" s="1">
        <f>Table1[[#This Row],[Discharge_Date]]-Table1[[#This Row],[Admission_Date]]</f>
        <v>13</v>
      </c>
      <c r="S335" s="1"/>
    </row>
    <row r="336" spans="1:19" x14ac:dyDescent="0.3">
      <c r="A336" t="s">
        <v>357</v>
      </c>
      <c r="B336">
        <v>23</v>
      </c>
      <c r="C336" t="s">
        <v>18</v>
      </c>
      <c r="D336">
        <v>30.7</v>
      </c>
      <c r="E336">
        <v>145</v>
      </c>
      <c r="F336">
        <v>88</v>
      </c>
      <c r="G336" t="s">
        <v>14</v>
      </c>
      <c r="H336" t="s">
        <v>14</v>
      </c>
      <c r="I336" t="s">
        <v>25</v>
      </c>
      <c r="J336" s="2">
        <v>4909.54</v>
      </c>
      <c r="K336" s="3">
        <v>45912</v>
      </c>
      <c r="L336" s="3">
        <v>45917</v>
      </c>
      <c r="M336" t="s">
        <v>23</v>
      </c>
      <c r="N336" t="str">
        <f>IF(Table1[[#This Row],[Age]]&lt;25,"&lt; 25",IF(Table1[[#This Row],[Age]]&lt;36,"25-35",IF(Table1[[#This Row],[Age]]&lt;51,"36-50",IF(Table1[[#This Row],[Age]]&lt;66,"51-65",IF(Table1[[#This Row],[Age]]&gt;65,"&gt;65","none")))))</f>
        <v>&lt; 25</v>
      </c>
      <c r="O336" t="str">
        <f>IF(AND(Table1[[#This Row],[Smoker]]="Yes",Table1[[#This Row],[Diabetic]]="Yes"),"Yes","No")</f>
        <v>Yes</v>
      </c>
      <c r="P336" t="str">
        <f>IF(OR(Table1[[#This Row],[Smoker]]="Yes",Table1[[#This Row],[Diabetic]]="Yes"),"Yes","No")</f>
        <v>Yes</v>
      </c>
      <c r="Q336" s="1" t="str">
        <f>IF(OR(Table1[[#This Row],[Systolic]]&gt;125,Table1[[#This Row],[Diastolic]]&gt;90),"High","Normal")</f>
        <v>High</v>
      </c>
      <c r="R336" s="1">
        <f>Table1[[#This Row],[Discharge_Date]]-Table1[[#This Row],[Admission_Date]]</f>
        <v>5</v>
      </c>
      <c r="S336" s="1"/>
    </row>
    <row r="337" spans="1:19" x14ac:dyDescent="0.3">
      <c r="A337" t="s">
        <v>358</v>
      </c>
      <c r="B337">
        <v>43</v>
      </c>
      <c r="C337" t="s">
        <v>12</v>
      </c>
      <c r="D337">
        <v>37.5</v>
      </c>
      <c r="E337">
        <v>105</v>
      </c>
      <c r="F337">
        <v>116</v>
      </c>
      <c r="G337" t="s">
        <v>13</v>
      </c>
      <c r="H337" t="s">
        <v>13</v>
      </c>
      <c r="I337" t="s">
        <v>21</v>
      </c>
      <c r="J337" s="2">
        <v>446.04</v>
      </c>
      <c r="K337" s="3">
        <v>45728</v>
      </c>
      <c r="L337" s="3">
        <v>45729</v>
      </c>
      <c r="M337" t="s">
        <v>19</v>
      </c>
      <c r="N337" t="str">
        <f>IF(Table1[[#This Row],[Age]]&lt;25,"&lt; 25",IF(Table1[[#This Row],[Age]]&lt;36,"25-35",IF(Table1[[#This Row],[Age]]&lt;51,"36-50",IF(Table1[[#This Row],[Age]]&lt;66,"51-65",IF(Table1[[#This Row],[Age]]&gt;65,"&gt;65","none")))))</f>
        <v>36-50</v>
      </c>
      <c r="O337" t="str">
        <f>IF(AND(Table1[[#This Row],[Smoker]]="Yes",Table1[[#This Row],[Diabetic]]="Yes"),"Yes","No")</f>
        <v>No</v>
      </c>
      <c r="P337" t="str">
        <f>IF(OR(Table1[[#This Row],[Smoker]]="Yes",Table1[[#This Row],[Diabetic]]="Yes"),"Yes","No")</f>
        <v>No</v>
      </c>
      <c r="Q337" s="1" t="str">
        <f>IF(OR(Table1[[#This Row],[Systolic]]&gt;125,Table1[[#This Row],[Diastolic]]&gt;90),"High","Normal")</f>
        <v>High</v>
      </c>
      <c r="R337" s="1">
        <f>Table1[[#This Row],[Discharge_Date]]-Table1[[#This Row],[Admission_Date]]</f>
        <v>1</v>
      </c>
      <c r="S337" s="1"/>
    </row>
    <row r="338" spans="1:19" x14ac:dyDescent="0.3">
      <c r="A338" t="s">
        <v>359</v>
      </c>
      <c r="B338">
        <v>87</v>
      </c>
      <c r="C338" t="s">
        <v>12</v>
      </c>
      <c r="D338">
        <v>27.2</v>
      </c>
      <c r="E338">
        <v>133</v>
      </c>
      <c r="F338">
        <v>92</v>
      </c>
      <c r="G338" t="s">
        <v>14</v>
      </c>
      <c r="H338" t="s">
        <v>13</v>
      </c>
      <c r="I338" t="s">
        <v>25</v>
      </c>
      <c r="J338" s="2">
        <v>4317.4399999999996</v>
      </c>
      <c r="K338" s="3">
        <v>45761</v>
      </c>
      <c r="L338" s="3">
        <v>45771</v>
      </c>
      <c r="M338" t="s">
        <v>19</v>
      </c>
      <c r="N338" t="str">
        <f>IF(Table1[[#This Row],[Age]]&lt;25,"&lt; 25",IF(Table1[[#This Row],[Age]]&lt;36,"25-35",IF(Table1[[#This Row],[Age]]&lt;51,"36-50",IF(Table1[[#This Row],[Age]]&lt;66,"51-65",IF(Table1[[#This Row],[Age]]&gt;65,"&gt;65","none")))))</f>
        <v>&gt;65</v>
      </c>
      <c r="O338" t="str">
        <f>IF(AND(Table1[[#This Row],[Smoker]]="Yes",Table1[[#This Row],[Diabetic]]="Yes"),"Yes","No")</f>
        <v>No</v>
      </c>
      <c r="P338" t="str">
        <f>IF(OR(Table1[[#This Row],[Smoker]]="Yes",Table1[[#This Row],[Diabetic]]="Yes"),"Yes","No")</f>
        <v>Yes</v>
      </c>
      <c r="Q338" s="1" t="str">
        <f>IF(OR(Table1[[#This Row],[Systolic]]&gt;125,Table1[[#This Row],[Diastolic]]&gt;90),"High","Normal")</f>
        <v>High</v>
      </c>
      <c r="R338" s="1">
        <f>Table1[[#This Row],[Discharge_Date]]-Table1[[#This Row],[Admission_Date]]</f>
        <v>10</v>
      </c>
      <c r="S338" s="1"/>
    </row>
    <row r="339" spans="1:19" x14ac:dyDescent="0.3">
      <c r="A339" t="s">
        <v>360</v>
      </c>
      <c r="B339">
        <v>56</v>
      </c>
      <c r="C339" t="s">
        <v>12</v>
      </c>
      <c r="D339">
        <v>26.3</v>
      </c>
      <c r="E339">
        <v>162</v>
      </c>
      <c r="F339">
        <v>85</v>
      </c>
      <c r="G339" t="s">
        <v>13</v>
      </c>
      <c r="H339" t="s">
        <v>14</v>
      </c>
      <c r="I339" t="s">
        <v>34</v>
      </c>
      <c r="J339" s="2">
        <v>2149.91</v>
      </c>
      <c r="K339" s="3">
        <v>45590</v>
      </c>
      <c r="L339" s="3">
        <v>45593</v>
      </c>
      <c r="M339" t="s">
        <v>23</v>
      </c>
      <c r="N339" t="str">
        <f>IF(Table1[[#This Row],[Age]]&lt;25,"&lt; 25",IF(Table1[[#This Row],[Age]]&lt;36,"25-35",IF(Table1[[#This Row],[Age]]&lt;51,"36-50",IF(Table1[[#This Row],[Age]]&lt;66,"51-65",IF(Table1[[#This Row],[Age]]&gt;65,"&gt;65","none")))))</f>
        <v>51-65</v>
      </c>
      <c r="O339" t="str">
        <f>IF(AND(Table1[[#This Row],[Smoker]]="Yes",Table1[[#This Row],[Diabetic]]="Yes"),"Yes","No")</f>
        <v>No</v>
      </c>
      <c r="P339" t="str">
        <f>IF(OR(Table1[[#This Row],[Smoker]]="Yes",Table1[[#This Row],[Diabetic]]="Yes"),"Yes","No")</f>
        <v>Yes</v>
      </c>
      <c r="Q339" s="1" t="str">
        <f>IF(OR(Table1[[#This Row],[Systolic]]&gt;125,Table1[[#This Row],[Diastolic]]&gt;90),"High","Normal")</f>
        <v>High</v>
      </c>
      <c r="R339" s="1">
        <f>Table1[[#This Row],[Discharge_Date]]-Table1[[#This Row],[Admission_Date]]</f>
        <v>3</v>
      </c>
      <c r="S339" s="1"/>
    </row>
    <row r="340" spans="1:19" x14ac:dyDescent="0.3">
      <c r="A340" t="s">
        <v>361</v>
      </c>
      <c r="B340">
        <v>86</v>
      </c>
      <c r="C340" t="s">
        <v>18</v>
      </c>
      <c r="D340">
        <v>26.6</v>
      </c>
      <c r="E340">
        <v>101</v>
      </c>
      <c r="F340">
        <v>89</v>
      </c>
      <c r="G340" t="s">
        <v>13</v>
      </c>
      <c r="H340" t="s">
        <v>14</v>
      </c>
      <c r="I340" t="s">
        <v>21</v>
      </c>
      <c r="J340" s="2">
        <v>4993.8999999999996</v>
      </c>
      <c r="K340" s="3">
        <v>45929</v>
      </c>
      <c r="L340" s="3">
        <v>45939</v>
      </c>
      <c r="M340" t="s">
        <v>16</v>
      </c>
      <c r="N340" t="str">
        <f>IF(Table1[[#This Row],[Age]]&lt;25,"&lt; 25",IF(Table1[[#This Row],[Age]]&lt;36,"25-35",IF(Table1[[#This Row],[Age]]&lt;51,"36-50",IF(Table1[[#This Row],[Age]]&lt;66,"51-65",IF(Table1[[#This Row],[Age]]&gt;65,"&gt;65","none")))))</f>
        <v>&gt;65</v>
      </c>
      <c r="O340" t="str">
        <f>IF(AND(Table1[[#This Row],[Smoker]]="Yes",Table1[[#This Row],[Diabetic]]="Yes"),"Yes","No")</f>
        <v>No</v>
      </c>
      <c r="P340" t="str">
        <f>IF(OR(Table1[[#This Row],[Smoker]]="Yes",Table1[[#This Row],[Diabetic]]="Yes"),"Yes","No")</f>
        <v>Yes</v>
      </c>
      <c r="Q340" s="1" t="str">
        <f>IF(OR(Table1[[#This Row],[Systolic]]&gt;125,Table1[[#This Row],[Diastolic]]&gt;90),"High","Normal")</f>
        <v>Normal</v>
      </c>
      <c r="R340" s="1">
        <f>Table1[[#This Row],[Discharge_Date]]-Table1[[#This Row],[Admission_Date]]</f>
        <v>10</v>
      </c>
      <c r="S340" s="1"/>
    </row>
    <row r="341" spans="1:19" x14ac:dyDescent="0.3">
      <c r="A341" t="s">
        <v>362</v>
      </c>
      <c r="B341">
        <v>89</v>
      </c>
      <c r="C341" t="s">
        <v>18</v>
      </c>
      <c r="D341">
        <v>24.9</v>
      </c>
      <c r="E341">
        <v>128</v>
      </c>
      <c r="F341">
        <v>99</v>
      </c>
      <c r="G341" t="s">
        <v>14</v>
      </c>
      <c r="H341" t="s">
        <v>14</v>
      </c>
      <c r="I341" t="s">
        <v>32</v>
      </c>
      <c r="J341" s="2">
        <v>2738.26</v>
      </c>
      <c r="K341" s="3">
        <v>45786</v>
      </c>
      <c r="L341" s="3">
        <v>45800</v>
      </c>
      <c r="M341" t="s">
        <v>23</v>
      </c>
      <c r="N341" t="str">
        <f>IF(Table1[[#This Row],[Age]]&lt;25,"&lt; 25",IF(Table1[[#This Row],[Age]]&lt;36,"25-35",IF(Table1[[#This Row],[Age]]&lt;51,"36-50",IF(Table1[[#This Row],[Age]]&lt;66,"51-65",IF(Table1[[#This Row],[Age]]&gt;65,"&gt;65","none")))))</f>
        <v>&gt;65</v>
      </c>
      <c r="O341" t="str">
        <f>IF(AND(Table1[[#This Row],[Smoker]]="Yes",Table1[[#This Row],[Diabetic]]="Yes"),"Yes","No")</f>
        <v>Yes</v>
      </c>
      <c r="P341" t="str">
        <f>IF(OR(Table1[[#This Row],[Smoker]]="Yes",Table1[[#This Row],[Diabetic]]="Yes"),"Yes","No")</f>
        <v>Yes</v>
      </c>
      <c r="Q341" s="1" t="str">
        <f>IF(OR(Table1[[#This Row],[Systolic]]&gt;125,Table1[[#This Row],[Diastolic]]&gt;90),"High","Normal")</f>
        <v>High</v>
      </c>
      <c r="R341" s="1">
        <f>Table1[[#This Row],[Discharge_Date]]-Table1[[#This Row],[Admission_Date]]</f>
        <v>14</v>
      </c>
      <c r="S341" s="1"/>
    </row>
    <row r="342" spans="1:19" x14ac:dyDescent="0.3">
      <c r="A342" t="s">
        <v>363</v>
      </c>
      <c r="B342">
        <v>79</v>
      </c>
      <c r="C342" t="s">
        <v>18</v>
      </c>
      <c r="D342">
        <v>36.5</v>
      </c>
      <c r="E342">
        <v>92</v>
      </c>
      <c r="F342">
        <v>76</v>
      </c>
      <c r="G342" t="s">
        <v>14</v>
      </c>
      <c r="H342" t="s">
        <v>13</v>
      </c>
      <c r="I342" t="s">
        <v>15</v>
      </c>
      <c r="J342" s="2">
        <v>3315.92</v>
      </c>
      <c r="K342" s="3">
        <v>45598</v>
      </c>
      <c r="L342" s="3">
        <v>45599</v>
      </c>
      <c r="M342" t="s">
        <v>19</v>
      </c>
      <c r="N342" t="str">
        <f>IF(Table1[[#This Row],[Age]]&lt;25,"&lt; 25",IF(Table1[[#This Row],[Age]]&lt;36,"25-35",IF(Table1[[#This Row],[Age]]&lt;51,"36-50",IF(Table1[[#This Row],[Age]]&lt;66,"51-65",IF(Table1[[#This Row],[Age]]&gt;65,"&gt;65","none")))))</f>
        <v>&gt;65</v>
      </c>
      <c r="O342" t="str">
        <f>IF(AND(Table1[[#This Row],[Smoker]]="Yes",Table1[[#This Row],[Diabetic]]="Yes"),"Yes","No")</f>
        <v>No</v>
      </c>
      <c r="P342" t="str">
        <f>IF(OR(Table1[[#This Row],[Smoker]]="Yes",Table1[[#This Row],[Diabetic]]="Yes"),"Yes","No")</f>
        <v>Yes</v>
      </c>
      <c r="Q342" s="1" t="str">
        <f>IF(OR(Table1[[#This Row],[Systolic]]&gt;125,Table1[[#This Row],[Diastolic]]&gt;90),"High","Normal")</f>
        <v>Normal</v>
      </c>
      <c r="R342" s="1">
        <f>Table1[[#This Row],[Discharge_Date]]-Table1[[#This Row],[Admission_Date]]</f>
        <v>1</v>
      </c>
      <c r="S342" s="1"/>
    </row>
    <row r="343" spans="1:19" x14ac:dyDescent="0.3">
      <c r="A343" t="s">
        <v>364</v>
      </c>
      <c r="B343">
        <v>80</v>
      </c>
      <c r="C343" t="s">
        <v>12</v>
      </c>
      <c r="D343">
        <v>36</v>
      </c>
      <c r="E343">
        <v>121</v>
      </c>
      <c r="F343">
        <v>84</v>
      </c>
      <c r="G343" t="s">
        <v>13</v>
      </c>
      <c r="H343" t="s">
        <v>14</v>
      </c>
      <c r="I343" t="s">
        <v>34</v>
      </c>
      <c r="J343" s="2">
        <v>2361.8000000000002</v>
      </c>
      <c r="K343" s="3">
        <v>45885</v>
      </c>
      <c r="L343" s="3">
        <v>45897</v>
      </c>
      <c r="M343" t="s">
        <v>16</v>
      </c>
      <c r="N343" t="str">
        <f>IF(Table1[[#This Row],[Age]]&lt;25,"&lt; 25",IF(Table1[[#This Row],[Age]]&lt;36,"25-35",IF(Table1[[#This Row],[Age]]&lt;51,"36-50",IF(Table1[[#This Row],[Age]]&lt;66,"51-65",IF(Table1[[#This Row],[Age]]&gt;65,"&gt;65","none")))))</f>
        <v>&gt;65</v>
      </c>
      <c r="O343" t="str">
        <f>IF(AND(Table1[[#This Row],[Smoker]]="Yes",Table1[[#This Row],[Diabetic]]="Yes"),"Yes","No")</f>
        <v>No</v>
      </c>
      <c r="P343" t="str">
        <f>IF(OR(Table1[[#This Row],[Smoker]]="Yes",Table1[[#This Row],[Diabetic]]="Yes"),"Yes","No")</f>
        <v>Yes</v>
      </c>
      <c r="Q343" s="1" t="str">
        <f>IF(OR(Table1[[#This Row],[Systolic]]&gt;125,Table1[[#This Row],[Diastolic]]&gt;90),"High","Normal")</f>
        <v>Normal</v>
      </c>
      <c r="R343" s="1">
        <f>Table1[[#This Row],[Discharge_Date]]-Table1[[#This Row],[Admission_Date]]</f>
        <v>12</v>
      </c>
      <c r="S343" s="1"/>
    </row>
    <row r="344" spans="1:19" x14ac:dyDescent="0.3">
      <c r="A344" t="s">
        <v>365</v>
      </c>
      <c r="B344">
        <v>61</v>
      </c>
      <c r="C344" t="s">
        <v>12</v>
      </c>
      <c r="D344">
        <v>31.6</v>
      </c>
      <c r="E344">
        <v>150</v>
      </c>
      <c r="F344">
        <v>81</v>
      </c>
      <c r="G344" t="s">
        <v>14</v>
      </c>
      <c r="H344" t="s">
        <v>14</v>
      </c>
      <c r="I344" t="s">
        <v>32</v>
      </c>
      <c r="J344" s="2">
        <v>4585.47</v>
      </c>
      <c r="K344" s="3">
        <v>45680</v>
      </c>
      <c r="L344" s="3">
        <v>45683</v>
      </c>
      <c r="M344" t="s">
        <v>19</v>
      </c>
      <c r="N344" t="str">
        <f>IF(Table1[[#This Row],[Age]]&lt;25,"&lt; 25",IF(Table1[[#This Row],[Age]]&lt;36,"25-35",IF(Table1[[#This Row],[Age]]&lt;51,"36-50",IF(Table1[[#This Row],[Age]]&lt;66,"51-65",IF(Table1[[#This Row],[Age]]&gt;65,"&gt;65","none")))))</f>
        <v>51-65</v>
      </c>
      <c r="O344" t="str">
        <f>IF(AND(Table1[[#This Row],[Smoker]]="Yes",Table1[[#This Row],[Diabetic]]="Yes"),"Yes","No")</f>
        <v>Yes</v>
      </c>
      <c r="P344" t="str">
        <f>IF(OR(Table1[[#This Row],[Smoker]]="Yes",Table1[[#This Row],[Diabetic]]="Yes"),"Yes","No")</f>
        <v>Yes</v>
      </c>
      <c r="Q344" s="1" t="str">
        <f>IF(OR(Table1[[#This Row],[Systolic]]&gt;125,Table1[[#This Row],[Diastolic]]&gt;90),"High","Normal")</f>
        <v>High</v>
      </c>
      <c r="R344" s="1">
        <f>Table1[[#This Row],[Discharge_Date]]-Table1[[#This Row],[Admission_Date]]</f>
        <v>3</v>
      </c>
      <c r="S344" s="1"/>
    </row>
    <row r="345" spans="1:19" x14ac:dyDescent="0.3">
      <c r="A345" t="s">
        <v>366</v>
      </c>
      <c r="B345">
        <v>49</v>
      </c>
      <c r="C345" t="s">
        <v>18</v>
      </c>
      <c r="D345">
        <v>24.4</v>
      </c>
      <c r="E345">
        <v>107</v>
      </c>
      <c r="F345">
        <v>110</v>
      </c>
      <c r="G345" t="s">
        <v>14</v>
      </c>
      <c r="H345" t="s">
        <v>14</v>
      </c>
      <c r="I345" t="s">
        <v>21</v>
      </c>
      <c r="J345" s="2">
        <v>1776.15</v>
      </c>
      <c r="K345" s="3">
        <v>45882</v>
      </c>
      <c r="L345" s="3">
        <v>45885</v>
      </c>
      <c r="M345" t="s">
        <v>23</v>
      </c>
      <c r="N345" t="str">
        <f>IF(Table1[[#This Row],[Age]]&lt;25,"&lt; 25",IF(Table1[[#This Row],[Age]]&lt;36,"25-35",IF(Table1[[#This Row],[Age]]&lt;51,"36-50",IF(Table1[[#This Row],[Age]]&lt;66,"51-65",IF(Table1[[#This Row],[Age]]&gt;65,"&gt;65","none")))))</f>
        <v>36-50</v>
      </c>
      <c r="O345" t="str">
        <f>IF(AND(Table1[[#This Row],[Smoker]]="Yes",Table1[[#This Row],[Diabetic]]="Yes"),"Yes","No")</f>
        <v>Yes</v>
      </c>
      <c r="P345" t="str">
        <f>IF(OR(Table1[[#This Row],[Smoker]]="Yes",Table1[[#This Row],[Diabetic]]="Yes"),"Yes","No")</f>
        <v>Yes</v>
      </c>
      <c r="Q345" s="1" t="str">
        <f>IF(OR(Table1[[#This Row],[Systolic]]&gt;125,Table1[[#This Row],[Diastolic]]&gt;90),"High","Normal")</f>
        <v>High</v>
      </c>
      <c r="R345" s="1">
        <f>Table1[[#This Row],[Discharge_Date]]-Table1[[#This Row],[Admission_Date]]</f>
        <v>3</v>
      </c>
      <c r="S345" s="1"/>
    </row>
    <row r="346" spans="1:19" x14ac:dyDescent="0.3">
      <c r="A346" t="s">
        <v>367</v>
      </c>
      <c r="B346">
        <v>84</v>
      </c>
      <c r="C346" t="s">
        <v>18</v>
      </c>
      <c r="D346">
        <v>23.7</v>
      </c>
      <c r="E346">
        <v>140</v>
      </c>
      <c r="F346">
        <v>78</v>
      </c>
      <c r="G346" t="s">
        <v>13</v>
      </c>
      <c r="H346" t="s">
        <v>14</v>
      </c>
      <c r="I346" t="s">
        <v>21</v>
      </c>
      <c r="J346" s="2">
        <v>4212.3</v>
      </c>
      <c r="K346" s="3">
        <v>45866</v>
      </c>
      <c r="L346" s="3">
        <v>45869</v>
      </c>
      <c r="M346" t="s">
        <v>19</v>
      </c>
      <c r="N346" t="str">
        <f>IF(Table1[[#This Row],[Age]]&lt;25,"&lt; 25",IF(Table1[[#This Row],[Age]]&lt;36,"25-35",IF(Table1[[#This Row],[Age]]&lt;51,"36-50",IF(Table1[[#This Row],[Age]]&lt;66,"51-65",IF(Table1[[#This Row],[Age]]&gt;65,"&gt;65","none")))))</f>
        <v>&gt;65</v>
      </c>
      <c r="O346" t="str">
        <f>IF(AND(Table1[[#This Row],[Smoker]]="Yes",Table1[[#This Row],[Diabetic]]="Yes"),"Yes","No")</f>
        <v>No</v>
      </c>
      <c r="P346" t="str">
        <f>IF(OR(Table1[[#This Row],[Smoker]]="Yes",Table1[[#This Row],[Diabetic]]="Yes"),"Yes","No")</f>
        <v>Yes</v>
      </c>
      <c r="Q346" s="1" t="str">
        <f>IF(OR(Table1[[#This Row],[Systolic]]&gt;125,Table1[[#This Row],[Diastolic]]&gt;90),"High","Normal")</f>
        <v>High</v>
      </c>
      <c r="R346" s="1">
        <f>Table1[[#This Row],[Discharge_Date]]-Table1[[#This Row],[Admission_Date]]</f>
        <v>3</v>
      </c>
      <c r="S346" s="1"/>
    </row>
    <row r="347" spans="1:19" x14ac:dyDescent="0.3">
      <c r="A347" t="s">
        <v>368</v>
      </c>
      <c r="B347">
        <v>28</v>
      </c>
      <c r="C347" t="s">
        <v>12</v>
      </c>
      <c r="D347">
        <v>28.6</v>
      </c>
      <c r="E347">
        <v>152</v>
      </c>
      <c r="F347">
        <v>69</v>
      </c>
      <c r="G347" t="s">
        <v>14</v>
      </c>
      <c r="H347" t="s">
        <v>13</v>
      </c>
      <c r="I347" t="s">
        <v>32</v>
      </c>
      <c r="J347" s="2">
        <v>4190.46</v>
      </c>
      <c r="K347" s="3">
        <v>45867</v>
      </c>
      <c r="L347" s="3">
        <v>45874</v>
      </c>
      <c r="M347" t="s">
        <v>23</v>
      </c>
      <c r="N347" t="str">
        <f>IF(Table1[[#This Row],[Age]]&lt;25,"&lt; 25",IF(Table1[[#This Row],[Age]]&lt;36,"25-35",IF(Table1[[#This Row],[Age]]&lt;51,"36-50",IF(Table1[[#This Row],[Age]]&lt;66,"51-65",IF(Table1[[#This Row],[Age]]&gt;65,"&gt;65","none")))))</f>
        <v>25-35</v>
      </c>
      <c r="O347" t="str">
        <f>IF(AND(Table1[[#This Row],[Smoker]]="Yes",Table1[[#This Row],[Diabetic]]="Yes"),"Yes","No")</f>
        <v>No</v>
      </c>
      <c r="P347" t="str">
        <f>IF(OR(Table1[[#This Row],[Smoker]]="Yes",Table1[[#This Row],[Diabetic]]="Yes"),"Yes","No")</f>
        <v>Yes</v>
      </c>
      <c r="Q347" s="1" t="str">
        <f>IF(OR(Table1[[#This Row],[Systolic]]&gt;125,Table1[[#This Row],[Diastolic]]&gt;90),"High","Normal")</f>
        <v>High</v>
      </c>
      <c r="R347" s="1">
        <f>Table1[[#This Row],[Discharge_Date]]-Table1[[#This Row],[Admission_Date]]</f>
        <v>7</v>
      </c>
      <c r="S347" s="1"/>
    </row>
    <row r="348" spans="1:19" x14ac:dyDescent="0.3">
      <c r="A348" t="s">
        <v>369</v>
      </c>
      <c r="B348">
        <v>58</v>
      </c>
      <c r="C348" t="s">
        <v>12</v>
      </c>
      <c r="D348">
        <v>18.600000000000001</v>
      </c>
      <c r="E348">
        <v>93</v>
      </c>
      <c r="F348">
        <v>70</v>
      </c>
      <c r="G348" t="s">
        <v>13</v>
      </c>
      <c r="H348" t="s">
        <v>13</v>
      </c>
      <c r="I348" t="s">
        <v>21</v>
      </c>
      <c r="J348" s="2">
        <v>1488.8</v>
      </c>
      <c r="K348" s="3">
        <v>45661</v>
      </c>
      <c r="L348" s="3">
        <v>45669</v>
      </c>
      <c r="M348" t="s">
        <v>16</v>
      </c>
      <c r="N348" t="str">
        <f>IF(Table1[[#This Row],[Age]]&lt;25,"&lt; 25",IF(Table1[[#This Row],[Age]]&lt;36,"25-35",IF(Table1[[#This Row],[Age]]&lt;51,"36-50",IF(Table1[[#This Row],[Age]]&lt;66,"51-65",IF(Table1[[#This Row],[Age]]&gt;65,"&gt;65","none")))))</f>
        <v>51-65</v>
      </c>
      <c r="O348" t="str">
        <f>IF(AND(Table1[[#This Row],[Smoker]]="Yes",Table1[[#This Row],[Diabetic]]="Yes"),"Yes","No")</f>
        <v>No</v>
      </c>
      <c r="P348" t="str">
        <f>IF(OR(Table1[[#This Row],[Smoker]]="Yes",Table1[[#This Row],[Diabetic]]="Yes"),"Yes","No")</f>
        <v>No</v>
      </c>
      <c r="Q348" s="1" t="str">
        <f>IF(OR(Table1[[#This Row],[Systolic]]&gt;125,Table1[[#This Row],[Diastolic]]&gt;90),"High","Normal")</f>
        <v>Normal</v>
      </c>
      <c r="R348" s="1">
        <f>Table1[[#This Row],[Discharge_Date]]-Table1[[#This Row],[Admission_Date]]</f>
        <v>8</v>
      </c>
      <c r="S348" s="1"/>
    </row>
    <row r="349" spans="1:19" x14ac:dyDescent="0.3">
      <c r="A349" t="s">
        <v>370</v>
      </c>
      <c r="B349">
        <v>90</v>
      </c>
      <c r="C349" t="s">
        <v>12</v>
      </c>
      <c r="D349">
        <v>19.100000000000001</v>
      </c>
      <c r="E349">
        <v>143</v>
      </c>
      <c r="F349">
        <v>67</v>
      </c>
      <c r="G349" t="s">
        <v>13</v>
      </c>
      <c r="H349" t="s">
        <v>13</v>
      </c>
      <c r="I349" t="s">
        <v>25</v>
      </c>
      <c r="J349" s="2">
        <v>2883.67</v>
      </c>
      <c r="K349" s="3">
        <v>45702</v>
      </c>
      <c r="L349" s="3">
        <v>45703</v>
      </c>
      <c r="M349" t="s">
        <v>19</v>
      </c>
      <c r="N349" t="str">
        <f>IF(Table1[[#This Row],[Age]]&lt;25,"&lt; 25",IF(Table1[[#This Row],[Age]]&lt;36,"25-35",IF(Table1[[#This Row],[Age]]&lt;51,"36-50",IF(Table1[[#This Row],[Age]]&lt;66,"51-65",IF(Table1[[#This Row],[Age]]&gt;65,"&gt;65","none")))))</f>
        <v>&gt;65</v>
      </c>
      <c r="O349" t="str">
        <f>IF(AND(Table1[[#This Row],[Smoker]]="Yes",Table1[[#This Row],[Diabetic]]="Yes"),"Yes","No")</f>
        <v>No</v>
      </c>
      <c r="P349" t="str">
        <f>IF(OR(Table1[[#This Row],[Smoker]]="Yes",Table1[[#This Row],[Diabetic]]="Yes"),"Yes","No")</f>
        <v>No</v>
      </c>
      <c r="Q349" s="1" t="str">
        <f>IF(OR(Table1[[#This Row],[Systolic]]&gt;125,Table1[[#This Row],[Diastolic]]&gt;90),"High","Normal")</f>
        <v>High</v>
      </c>
      <c r="R349" s="1">
        <f>Table1[[#This Row],[Discharge_Date]]-Table1[[#This Row],[Admission_Date]]</f>
        <v>1</v>
      </c>
      <c r="S349" s="1"/>
    </row>
    <row r="350" spans="1:19" x14ac:dyDescent="0.3">
      <c r="A350" t="s">
        <v>371</v>
      </c>
      <c r="B350">
        <v>35</v>
      </c>
      <c r="C350" t="s">
        <v>18</v>
      </c>
      <c r="D350">
        <v>39.6</v>
      </c>
      <c r="E350">
        <v>145</v>
      </c>
      <c r="F350">
        <v>115</v>
      </c>
      <c r="G350" t="s">
        <v>14</v>
      </c>
      <c r="H350" t="s">
        <v>13</v>
      </c>
      <c r="I350" t="s">
        <v>21</v>
      </c>
      <c r="J350" s="2">
        <v>4532.62</v>
      </c>
      <c r="K350" s="3">
        <v>45886</v>
      </c>
      <c r="L350" s="3">
        <v>45889</v>
      </c>
      <c r="M350" t="s">
        <v>23</v>
      </c>
      <c r="N350" t="str">
        <f>IF(Table1[[#This Row],[Age]]&lt;25,"&lt; 25",IF(Table1[[#This Row],[Age]]&lt;36,"25-35",IF(Table1[[#This Row],[Age]]&lt;51,"36-50",IF(Table1[[#This Row],[Age]]&lt;66,"51-65",IF(Table1[[#This Row],[Age]]&gt;65,"&gt;65","none")))))</f>
        <v>25-35</v>
      </c>
      <c r="O350" t="str">
        <f>IF(AND(Table1[[#This Row],[Smoker]]="Yes",Table1[[#This Row],[Diabetic]]="Yes"),"Yes","No")</f>
        <v>No</v>
      </c>
      <c r="P350" t="str">
        <f>IF(OR(Table1[[#This Row],[Smoker]]="Yes",Table1[[#This Row],[Diabetic]]="Yes"),"Yes","No")</f>
        <v>Yes</v>
      </c>
      <c r="Q350" s="1" t="str">
        <f>IF(OR(Table1[[#This Row],[Systolic]]&gt;125,Table1[[#This Row],[Diastolic]]&gt;90),"High","Normal")</f>
        <v>High</v>
      </c>
      <c r="R350" s="1">
        <f>Table1[[#This Row],[Discharge_Date]]-Table1[[#This Row],[Admission_Date]]</f>
        <v>3</v>
      </c>
      <c r="S350" s="1"/>
    </row>
    <row r="351" spans="1:19" x14ac:dyDescent="0.3">
      <c r="A351" t="s">
        <v>372</v>
      </c>
      <c r="B351">
        <v>42</v>
      </c>
      <c r="C351" t="s">
        <v>12</v>
      </c>
      <c r="D351">
        <v>33.799999999999997</v>
      </c>
      <c r="E351">
        <v>171</v>
      </c>
      <c r="F351">
        <v>67</v>
      </c>
      <c r="G351" t="s">
        <v>13</v>
      </c>
      <c r="H351" t="s">
        <v>14</v>
      </c>
      <c r="I351" t="s">
        <v>25</v>
      </c>
      <c r="J351" s="2">
        <v>3098.32</v>
      </c>
      <c r="K351" s="3">
        <v>45647</v>
      </c>
      <c r="L351" s="3">
        <v>45656</v>
      </c>
      <c r="M351" t="s">
        <v>16</v>
      </c>
      <c r="N351" t="str">
        <f>IF(Table1[[#This Row],[Age]]&lt;25,"&lt; 25",IF(Table1[[#This Row],[Age]]&lt;36,"25-35",IF(Table1[[#This Row],[Age]]&lt;51,"36-50",IF(Table1[[#This Row],[Age]]&lt;66,"51-65",IF(Table1[[#This Row],[Age]]&gt;65,"&gt;65","none")))))</f>
        <v>36-50</v>
      </c>
      <c r="O351" t="str">
        <f>IF(AND(Table1[[#This Row],[Smoker]]="Yes",Table1[[#This Row],[Diabetic]]="Yes"),"Yes","No")</f>
        <v>No</v>
      </c>
      <c r="P351" t="str">
        <f>IF(OR(Table1[[#This Row],[Smoker]]="Yes",Table1[[#This Row],[Diabetic]]="Yes"),"Yes","No")</f>
        <v>Yes</v>
      </c>
      <c r="Q351" s="1" t="str">
        <f>IF(OR(Table1[[#This Row],[Systolic]]&gt;125,Table1[[#This Row],[Diastolic]]&gt;90),"High","Normal")</f>
        <v>High</v>
      </c>
      <c r="R351" s="1">
        <f>Table1[[#This Row],[Discharge_Date]]-Table1[[#This Row],[Admission_Date]]</f>
        <v>9</v>
      </c>
      <c r="S351" s="1"/>
    </row>
    <row r="352" spans="1:19" x14ac:dyDescent="0.3">
      <c r="A352" t="s">
        <v>373</v>
      </c>
      <c r="B352">
        <v>28</v>
      </c>
      <c r="C352" t="s">
        <v>18</v>
      </c>
      <c r="D352">
        <v>34.799999999999997</v>
      </c>
      <c r="E352">
        <v>155</v>
      </c>
      <c r="F352">
        <v>66</v>
      </c>
      <c r="G352" t="s">
        <v>13</v>
      </c>
      <c r="H352" t="s">
        <v>13</v>
      </c>
      <c r="I352" t="s">
        <v>25</v>
      </c>
      <c r="J352" s="2">
        <v>2881.04</v>
      </c>
      <c r="K352" s="3">
        <v>45772</v>
      </c>
      <c r="L352" s="3">
        <v>45783</v>
      </c>
      <c r="M352" t="s">
        <v>19</v>
      </c>
      <c r="N352" t="str">
        <f>IF(Table1[[#This Row],[Age]]&lt;25,"&lt; 25",IF(Table1[[#This Row],[Age]]&lt;36,"25-35",IF(Table1[[#This Row],[Age]]&lt;51,"36-50",IF(Table1[[#This Row],[Age]]&lt;66,"51-65",IF(Table1[[#This Row],[Age]]&gt;65,"&gt;65","none")))))</f>
        <v>25-35</v>
      </c>
      <c r="O352" t="str">
        <f>IF(AND(Table1[[#This Row],[Smoker]]="Yes",Table1[[#This Row],[Diabetic]]="Yes"),"Yes","No")</f>
        <v>No</v>
      </c>
      <c r="P352" t="str">
        <f>IF(OR(Table1[[#This Row],[Smoker]]="Yes",Table1[[#This Row],[Diabetic]]="Yes"),"Yes","No")</f>
        <v>No</v>
      </c>
      <c r="Q352" s="1" t="str">
        <f>IF(OR(Table1[[#This Row],[Systolic]]&gt;125,Table1[[#This Row],[Diastolic]]&gt;90),"High","Normal")</f>
        <v>High</v>
      </c>
      <c r="R352" s="1">
        <f>Table1[[#This Row],[Discharge_Date]]-Table1[[#This Row],[Admission_Date]]</f>
        <v>11</v>
      </c>
      <c r="S352" s="1"/>
    </row>
    <row r="353" spans="1:19" x14ac:dyDescent="0.3">
      <c r="A353" t="s">
        <v>374</v>
      </c>
      <c r="B353">
        <v>81</v>
      </c>
      <c r="C353" t="s">
        <v>12</v>
      </c>
      <c r="D353">
        <v>33.5</v>
      </c>
      <c r="E353">
        <v>151</v>
      </c>
      <c r="F353">
        <v>88</v>
      </c>
      <c r="G353" t="s">
        <v>14</v>
      </c>
      <c r="H353" t="s">
        <v>13</v>
      </c>
      <c r="I353" t="s">
        <v>15</v>
      </c>
      <c r="J353" s="2">
        <v>755.63</v>
      </c>
      <c r="K353" s="3">
        <v>45659</v>
      </c>
      <c r="L353" s="3">
        <v>45669</v>
      </c>
      <c r="M353" t="s">
        <v>23</v>
      </c>
      <c r="N353" t="str">
        <f>IF(Table1[[#This Row],[Age]]&lt;25,"&lt; 25",IF(Table1[[#This Row],[Age]]&lt;36,"25-35",IF(Table1[[#This Row],[Age]]&lt;51,"36-50",IF(Table1[[#This Row],[Age]]&lt;66,"51-65",IF(Table1[[#This Row],[Age]]&gt;65,"&gt;65","none")))))</f>
        <v>&gt;65</v>
      </c>
      <c r="O353" t="str">
        <f>IF(AND(Table1[[#This Row],[Smoker]]="Yes",Table1[[#This Row],[Diabetic]]="Yes"),"Yes","No")</f>
        <v>No</v>
      </c>
      <c r="P353" t="str">
        <f>IF(OR(Table1[[#This Row],[Smoker]]="Yes",Table1[[#This Row],[Diabetic]]="Yes"),"Yes","No")</f>
        <v>Yes</v>
      </c>
      <c r="Q353" s="1" t="str">
        <f>IF(OR(Table1[[#This Row],[Systolic]]&gt;125,Table1[[#This Row],[Diastolic]]&gt;90),"High","Normal")</f>
        <v>High</v>
      </c>
      <c r="R353" s="1">
        <f>Table1[[#This Row],[Discharge_Date]]-Table1[[#This Row],[Admission_Date]]</f>
        <v>10</v>
      </c>
      <c r="S353" s="1"/>
    </row>
    <row r="354" spans="1:19" x14ac:dyDescent="0.3">
      <c r="A354" t="s">
        <v>375</v>
      </c>
      <c r="B354">
        <v>20</v>
      </c>
      <c r="C354" t="s">
        <v>18</v>
      </c>
      <c r="D354">
        <v>26.5</v>
      </c>
      <c r="E354">
        <v>98</v>
      </c>
      <c r="F354">
        <v>62</v>
      </c>
      <c r="G354" t="s">
        <v>14</v>
      </c>
      <c r="H354" t="s">
        <v>14</v>
      </c>
      <c r="I354" t="s">
        <v>15</v>
      </c>
      <c r="J354" s="2">
        <v>2530.88</v>
      </c>
      <c r="K354" s="3">
        <v>45584</v>
      </c>
      <c r="L354" s="3">
        <v>45590</v>
      </c>
      <c r="M354" t="s">
        <v>16</v>
      </c>
      <c r="N354" t="str">
        <f>IF(Table1[[#This Row],[Age]]&lt;25,"&lt; 25",IF(Table1[[#This Row],[Age]]&lt;36,"25-35",IF(Table1[[#This Row],[Age]]&lt;51,"36-50",IF(Table1[[#This Row],[Age]]&lt;66,"51-65",IF(Table1[[#This Row],[Age]]&gt;65,"&gt;65","none")))))</f>
        <v>&lt; 25</v>
      </c>
      <c r="O354" t="str">
        <f>IF(AND(Table1[[#This Row],[Smoker]]="Yes",Table1[[#This Row],[Diabetic]]="Yes"),"Yes","No")</f>
        <v>Yes</v>
      </c>
      <c r="P354" t="str">
        <f>IF(OR(Table1[[#This Row],[Smoker]]="Yes",Table1[[#This Row],[Diabetic]]="Yes"),"Yes","No")</f>
        <v>Yes</v>
      </c>
      <c r="Q354" s="1" t="str">
        <f>IF(OR(Table1[[#This Row],[Systolic]]&gt;125,Table1[[#This Row],[Diastolic]]&gt;90),"High","Normal")</f>
        <v>Normal</v>
      </c>
      <c r="R354" s="1">
        <f>Table1[[#This Row],[Discharge_Date]]-Table1[[#This Row],[Admission_Date]]</f>
        <v>6</v>
      </c>
      <c r="S354" s="1"/>
    </row>
    <row r="355" spans="1:19" x14ac:dyDescent="0.3">
      <c r="A355" t="s">
        <v>376</v>
      </c>
      <c r="B355">
        <v>82</v>
      </c>
      <c r="C355" t="s">
        <v>12</v>
      </c>
      <c r="D355">
        <v>32.9</v>
      </c>
      <c r="E355">
        <v>101</v>
      </c>
      <c r="F355">
        <v>67</v>
      </c>
      <c r="G355" t="s">
        <v>13</v>
      </c>
      <c r="H355" t="s">
        <v>14</v>
      </c>
      <c r="I355" t="s">
        <v>25</v>
      </c>
      <c r="J355" s="2">
        <v>4327.01</v>
      </c>
      <c r="K355" s="3">
        <v>45601</v>
      </c>
      <c r="L355" s="3">
        <v>45603</v>
      </c>
      <c r="M355" t="s">
        <v>23</v>
      </c>
      <c r="N355" t="str">
        <f>IF(Table1[[#This Row],[Age]]&lt;25,"&lt; 25",IF(Table1[[#This Row],[Age]]&lt;36,"25-35",IF(Table1[[#This Row],[Age]]&lt;51,"36-50",IF(Table1[[#This Row],[Age]]&lt;66,"51-65",IF(Table1[[#This Row],[Age]]&gt;65,"&gt;65","none")))))</f>
        <v>&gt;65</v>
      </c>
      <c r="O355" t="str">
        <f>IF(AND(Table1[[#This Row],[Smoker]]="Yes",Table1[[#This Row],[Diabetic]]="Yes"),"Yes","No")</f>
        <v>No</v>
      </c>
      <c r="P355" t="str">
        <f>IF(OR(Table1[[#This Row],[Smoker]]="Yes",Table1[[#This Row],[Diabetic]]="Yes"),"Yes","No")</f>
        <v>Yes</v>
      </c>
      <c r="Q355" s="1" t="str">
        <f>IF(OR(Table1[[#This Row],[Systolic]]&gt;125,Table1[[#This Row],[Diastolic]]&gt;90),"High","Normal")</f>
        <v>Normal</v>
      </c>
      <c r="R355" s="1">
        <f>Table1[[#This Row],[Discharge_Date]]-Table1[[#This Row],[Admission_Date]]</f>
        <v>2</v>
      </c>
      <c r="S355" s="1"/>
    </row>
    <row r="356" spans="1:19" x14ac:dyDescent="0.3">
      <c r="A356" t="s">
        <v>377</v>
      </c>
      <c r="B356">
        <v>74</v>
      </c>
      <c r="C356" t="s">
        <v>18</v>
      </c>
      <c r="D356">
        <v>26.6</v>
      </c>
      <c r="E356">
        <v>131</v>
      </c>
      <c r="F356">
        <v>66</v>
      </c>
      <c r="G356" t="s">
        <v>13</v>
      </c>
      <c r="H356" t="s">
        <v>14</v>
      </c>
      <c r="I356" t="s">
        <v>15</v>
      </c>
      <c r="J356" s="2">
        <v>828.77</v>
      </c>
      <c r="K356" s="3">
        <v>45857</v>
      </c>
      <c r="L356" s="3">
        <v>45864</v>
      </c>
      <c r="M356" t="s">
        <v>23</v>
      </c>
      <c r="N356" t="str">
        <f>IF(Table1[[#This Row],[Age]]&lt;25,"&lt; 25",IF(Table1[[#This Row],[Age]]&lt;36,"25-35",IF(Table1[[#This Row],[Age]]&lt;51,"36-50",IF(Table1[[#This Row],[Age]]&lt;66,"51-65",IF(Table1[[#This Row],[Age]]&gt;65,"&gt;65","none")))))</f>
        <v>&gt;65</v>
      </c>
      <c r="O356" t="str">
        <f>IF(AND(Table1[[#This Row],[Smoker]]="Yes",Table1[[#This Row],[Diabetic]]="Yes"),"Yes","No")</f>
        <v>No</v>
      </c>
      <c r="P356" t="str">
        <f>IF(OR(Table1[[#This Row],[Smoker]]="Yes",Table1[[#This Row],[Diabetic]]="Yes"),"Yes","No")</f>
        <v>Yes</v>
      </c>
      <c r="Q356" s="1" t="str">
        <f>IF(OR(Table1[[#This Row],[Systolic]]&gt;125,Table1[[#This Row],[Diastolic]]&gt;90),"High","Normal")</f>
        <v>High</v>
      </c>
      <c r="R356" s="1">
        <f>Table1[[#This Row],[Discharge_Date]]-Table1[[#This Row],[Admission_Date]]</f>
        <v>7</v>
      </c>
      <c r="S356" s="1"/>
    </row>
    <row r="357" spans="1:19" x14ac:dyDescent="0.3">
      <c r="A357" t="s">
        <v>378</v>
      </c>
      <c r="B357">
        <v>23</v>
      </c>
      <c r="C357" t="s">
        <v>12</v>
      </c>
      <c r="D357">
        <v>36.5</v>
      </c>
      <c r="E357">
        <v>116</v>
      </c>
      <c r="F357">
        <v>82</v>
      </c>
      <c r="G357" t="s">
        <v>13</v>
      </c>
      <c r="H357" t="s">
        <v>14</v>
      </c>
      <c r="I357" t="s">
        <v>15</v>
      </c>
      <c r="J357" s="2">
        <v>3436.13</v>
      </c>
      <c r="K357" s="3">
        <v>45677</v>
      </c>
      <c r="L357" s="3">
        <v>45691</v>
      </c>
      <c r="M357" t="s">
        <v>19</v>
      </c>
      <c r="N357" t="str">
        <f>IF(Table1[[#This Row],[Age]]&lt;25,"&lt; 25",IF(Table1[[#This Row],[Age]]&lt;36,"25-35",IF(Table1[[#This Row],[Age]]&lt;51,"36-50",IF(Table1[[#This Row],[Age]]&lt;66,"51-65",IF(Table1[[#This Row],[Age]]&gt;65,"&gt;65","none")))))</f>
        <v>&lt; 25</v>
      </c>
      <c r="O357" t="str">
        <f>IF(AND(Table1[[#This Row],[Smoker]]="Yes",Table1[[#This Row],[Diabetic]]="Yes"),"Yes","No")</f>
        <v>No</v>
      </c>
      <c r="P357" t="str">
        <f>IF(OR(Table1[[#This Row],[Smoker]]="Yes",Table1[[#This Row],[Diabetic]]="Yes"),"Yes","No")</f>
        <v>Yes</v>
      </c>
      <c r="Q357" s="1" t="str">
        <f>IF(OR(Table1[[#This Row],[Systolic]]&gt;125,Table1[[#This Row],[Diastolic]]&gt;90),"High","Normal")</f>
        <v>Normal</v>
      </c>
      <c r="R357" s="1">
        <f>Table1[[#This Row],[Discharge_Date]]-Table1[[#This Row],[Admission_Date]]</f>
        <v>14</v>
      </c>
      <c r="S357" s="1"/>
    </row>
    <row r="358" spans="1:19" x14ac:dyDescent="0.3">
      <c r="A358" t="s">
        <v>379</v>
      </c>
      <c r="B358">
        <v>70</v>
      </c>
      <c r="C358" t="s">
        <v>12</v>
      </c>
      <c r="D358">
        <v>35.9</v>
      </c>
      <c r="E358">
        <v>98</v>
      </c>
      <c r="F358">
        <v>62</v>
      </c>
      <c r="G358" t="s">
        <v>13</v>
      </c>
      <c r="H358" t="s">
        <v>14</v>
      </c>
      <c r="I358" t="s">
        <v>25</v>
      </c>
      <c r="J358" s="2">
        <v>2946.59</v>
      </c>
      <c r="K358" s="3">
        <v>45813</v>
      </c>
      <c r="L358" s="3">
        <v>45822</v>
      </c>
      <c r="M358" t="s">
        <v>23</v>
      </c>
      <c r="N358" t="str">
        <f>IF(Table1[[#This Row],[Age]]&lt;25,"&lt; 25",IF(Table1[[#This Row],[Age]]&lt;36,"25-35",IF(Table1[[#This Row],[Age]]&lt;51,"36-50",IF(Table1[[#This Row],[Age]]&lt;66,"51-65",IF(Table1[[#This Row],[Age]]&gt;65,"&gt;65","none")))))</f>
        <v>&gt;65</v>
      </c>
      <c r="O358" t="str">
        <f>IF(AND(Table1[[#This Row],[Smoker]]="Yes",Table1[[#This Row],[Diabetic]]="Yes"),"Yes","No")</f>
        <v>No</v>
      </c>
      <c r="P358" t="str">
        <f>IF(OR(Table1[[#This Row],[Smoker]]="Yes",Table1[[#This Row],[Diabetic]]="Yes"),"Yes","No")</f>
        <v>Yes</v>
      </c>
      <c r="Q358" s="1" t="str">
        <f>IF(OR(Table1[[#This Row],[Systolic]]&gt;125,Table1[[#This Row],[Diastolic]]&gt;90),"High","Normal")</f>
        <v>Normal</v>
      </c>
      <c r="R358" s="1">
        <f>Table1[[#This Row],[Discharge_Date]]-Table1[[#This Row],[Admission_Date]]</f>
        <v>9</v>
      </c>
      <c r="S358" s="1"/>
    </row>
    <row r="359" spans="1:19" x14ac:dyDescent="0.3">
      <c r="A359" t="s">
        <v>380</v>
      </c>
      <c r="B359">
        <v>55</v>
      </c>
      <c r="C359" t="s">
        <v>12</v>
      </c>
      <c r="D359">
        <v>30</v>
      </c>
      <c r="E359">
        <v>121</v>
      </c>
      <c r="F359">
        <v>117</v>
      </c>
      <c r="G359" t="s">
        <v>13</v>
      </c>
      <c r="H359" t="s">
        <v>14</v>
      </c>
      <c r="I359" t="s">
        <v>34</v>
      </c>
      <c r="J359" s="2">
        <v>4007.02</v>
      </c>
      <c r="K359" s="3">
        <v>45619</v>
      </c>
      <c r="L359" s="3">
        <v>45629</v>
      </c>
      <c r="M359" t="s">
        <v>19</v>
      </c>
      <c r="N359" t="str">
        <f>IF(Table1[[#This Row],[Age]]&lt;25,"&lt; 25",IF(Table1[[#This Row],[Age]]&lt;36,"25-35",IF(Table1[[#This Row],[Age]]&lt;51,"36-50",IF(Table1[[#This Row],[Age]]&lt;66,"51-65",IF(Table1[[#This Row],[Age]]&gt;65,"&gt;65","none")))))</f>
        <v>51-65</v>
      </c>
      <c r="O359" t="str">
        <f>IF(AND(Table1[[#This Row],[Smoker]]="Yes",Table1[[#This Row],[Diabetic]]="Yes"),"Yes","No")</f>
        <v>No</v>
      </c>
      <c r="P359" t="str">
        <f>IF(OR(Table1[[#This Row],[Smoker]]="Yes",Table1[[#This Row],[Diabetic]]="Yes"),"Yes","No")</f>
        <v>Yes</v>
      </c>
      <c r="Q359" s="1" t="str">
        <f>IF(OR(Table1[[#This Row],[Systolic]]&gt;125,Table1[[#This Row],[Diastolic]]&gt;90),"High","Normal")</f>
        <v>High</v>
      </c>
      <c r="R359" s="1">
        <f>Table1[[#This Row],[Discharge_Date]]-Table1[[#This Row],[Admission_Date]]</f>
        <v>10</v>
      </c>
      <c r="S359" s="1"/>
    </row>
    <row r="360" spans="1:19" x14ac:dyDescent="0.3">
      <c r="A360" t="s">
        <v>381</v>
      </c>
      <c r="B360">
        <v>78</v>
      </c>
      <c r="C360" t="s">
        <v>12</v>
      </c>
      <c r="D360">
        <v>25.4</v>
      </c>
      <c r="E360">
        <v>128</v>
      </c>
      <c r="F360">
        <v>97</v>
      </c>
      <c r="G360" t="s">
        <v>13</v>
      </c>
      <c r="H360" t="s">
        <v>13</v>
      </c>
      <c r="I360" t="s">
        <v>21</v>
      </c>
      <c r="J360" s="2">
        <v>1507.01</v>
      </c>
      <c r="K360" s="3">
        <v>45627</v>
      </c>
      <c r="L360" s="3">
        <v>45631</v>
      </c>
      <c r="M360" t="s">
        <v>23</v>
      </c>
      <c r="N360" t="str">
        <f>IF(Table1[[#This Row],[Age]]&lt;25,"&lt; 25",IF(Table1[[#This Row],[Age]]&lt;36,"25-35",IF(Table1[[#This Row],[Age]]&lt;51,"36-50",IF(Table1[[#This Row],[Age]]&lt;66,"51-65",IF(Table1[[#This Row],[Age]]&gt;65,"&gt;65","none")))))</f>
        <v>&gt;65</v>
      </c>
      <c r="O360" t="str">
        <f>IF(AND(Table1[[#This Row],[Smoker]]="Yes",Table1[[#This Row],[Diabetic]]="Yes"),"Yes","No")</f>
        <v>No</v>
      </c>
      <c r="P360" t="str">
        <f>IF(OR(Table1[[#This Row],[Smoker]]="Yes",Table1[[#This Row],[Diabetic]]="Yes"),"Yes","No")</f>
        <v>No</v>
      </c>
      <c r="Q360" s="1" t="str">
        <f>IF(OR(Table1[[#This Row],[Systolic]]&gt;125,Table1[[#This Row],[Diastolic]]&gt;90),"High","Normal")</f>
        <v>High</v>
      </c>
      <c r="R360" s="1">
        <f>Table1[[#This Row],[Discharge_Date]]-Table1[[#This Row],[Admission_Date]]</f>
        <v>4</v>
      </c>
      <c r="S360" s="1"/>
    </row>
    <row r="361" spans="1:19" x14ac:dyDescent="0.3">
      <c r="A361" t="s">
        <v>382</v>
      </c>
      <c r="B361">
        <v>66</v>
      </c>
      <c r="C361" t="s">
        <v>18</v>
      </c>
      <c r="D361">
        <v>39.9</v>
      </c>
      <c r="E361">
        <v>174</v>
      </c>
      <c r="F361">
        <v>116</v>
      </c>
      <c r="G361" t="s">
        <v>13</v>
      </c>
      <c r="H361" t="s">
        <v>14</v>
      </c>
      <c r="I361" t="s">
        <v>34</v>
      </c>
      <c r="J361" s="2">
        <v>3414.68</v>
      </c>
      <c r="K361" s="3">
        <v>45696</v>
      </c>
      <c r="L361" s="3">
        <v>45704</v>
      </c>
      <c r="M361" t="s">
        <v>23</v>
      </c>
      <c r="N361" t="str">
        <f>IF(Table1[[#This Row],[Age]]&lt;25,"&lt; 25",IF(Table1[[#This Row],[Age]]&lt;36,"25-35",IF(Table1[[#This Row],[Age]]&lt;51,"36-50",IF(Table1[[#This Row],[Age]]&lt;66,"51-65",IF(Table1[[#This Row],[Age]]&gt;65,"&gt;65","none")))))</f>
        <v>&gt;65</v>
      </c>
      <c r="O361" t="str">
        <f>IF(AND(Table1[[#This Row],[Smoker]]="Yes",Table1[[#This Row],[Diabetic]]="Yes"),"Yes","No")</f>
        <v>No</v>
      </c>
      <c r="P361" t="str">
        <f>IF(OR(Table1[[#This Row],[Smoker]]="Yes",Table1[[#This Row],[Diabetic]]="Yes"),"Yes","No")</f>
        <v>Yes</v>
      </c>
      <c r="Q361" s="1" t="str">
        <f>IF(OR(Table1[[#This Row],[Systolic]]&gt;125,Table1[[#This Row],[Diastolic]]&gt;90),"High","Normal")</f>
        <v>High</v>
      </c>
      <c r="R361" s="1">
        <f>Table1[[#This Row],[Discharge_Date]]-Table1[[#This Row],[Admission_Date]]</f>
        <v>8</v>
      </c>
      <c r="S361" s="1"/>
    </row>
    <row r="362" spans="1:19" x14ac:dyDescent="0.3">
      <c r="A362" t="s">
        <v>383</v>
      </c>
      <c r="B362">
        <v>63</v>
      </c>
      <c r="C362" t="s">
        <v>18</v>
      </c>
      <c r="D362">
        <v>28</v>
      </c>
      <c r="E362">
        <v>148</v>
      </c>
      <c r="F362">
        <v>108</v>
      </c>
      <c r="G362" t="s">
        <v>13</v>
      </c>
      <c r="H362" t="s">
        <v>14</v>
      </c>
      <c r="I362" t="s">
        <v>21</v>
      </c>
      <c r="J362" s="2">
        <v>2439.29</v>
      </c>
      <c r="K362" s="3">
        <v>45835</v>
      </c>
      <c r="L362" s="3">
        <v>45846</v>
      </c>
      <c r="M362" t="s">
        <v>23</v>
      </c>
      <c r="N362" t="str">
        <f>IF(Table1[[#This Row],[Age]]&lt;25,"&lt; 25",IF(Table1[[#This Row],[Age]]&lt;36,"25-35",IF(Table1[[#This Row],[Age]]&lt;51,"36-50",IF(Table1[[#This Row],[Age]]&lt;66,"51-65",IF(Table1[[#This Row],[Age]]&gt;65,"&gt;65","none")))))</f>
        <v>51-65</v>
      </c>
      <c r="O362" t="str">
        <f>IF(AND(Table1[[#This Row],[Smoker]]="Yes",Table1[[#This Row],[Diabetic]]="Yes"),"Yes","No")</f>
        <v>No</v>
      </c>
      <c r="P362" t="str">
        <f>IF(OR(Table1[[#This Row],[Smoker]]="Yes",Table1[[#This Row],[Diabetic]]="Yes"),"Yes","No")</f>
        <v>Yes</v>
      </c>
      <c r="Q362" s="1" t="str">
        <f>IF(OR(Table1[[#This Row],[Systolic]]&gt;125,Table1[[#This Row],[Diastolic]]&gt;90),"High","Normal")</f>
        <v>High</v>
      </c>
      <c r="R362" s="1">
        <f>Table1[[#This Row],[Discharge_Date]]-Table1[[#This Row],[Admission_Date]]</f>
        <v>11</v>
      </c>
      <c r="S362" s="1"/>
    </row>
    <row r="363" spans="1:19" x14ac:dyDescent="0.3">
      <c r="A363" t="s">
        <v>384</v>
      </c>
      <c r="B363">
        <v>55</v>
      </c>
      <c r="C363" t="s">
        <v>12</v>
      </c>
      <c r="D363">
        <v>26.3</v>
      </c>
      <c r="E363">
        <v>110</v>
      </c>
      <c r="F363">
        <v>111</v>
      </c>
      <c r="G363" t="s">
        <v>14</v>
      </c>
      <c r="H363" t="s">
        <v>14</v>
      </c>
      <c r="I363" t="s">
        <v>21</v>
      </c>
      <c r="J363" s="2">
        <v>4792.82</v>
      </c>
      <c r="K363" s="3">
        <v>45871</v>
      </c>
      <c r="L363" s="3">
        <v>45873</v>
      </c>
      <c r="M363" t="s">
        <v>19</v>
      </c>
      <c r="N363" t="str">
        <f>IF(Table1[[#This Row],[Age]]&lt;25,"&lt; 25",IF(Table1[[#This Row],[Age]]&lt;36,"25-35",IF(Table1[[#This Row],[Age]]&lt;51,"36-50",IF(Table1[[#This Row],[Age]]&lt;66,"51-65",IF(Table1[[#This Row],[Age]]&gt;65,"&gt;65","none")))))</f>
        <v>51-65</v>
      </c>
      <c r="O363" t="str">
        <f>IF(AND(Table1[[#This Row],[Smoker]]="Yes",Table1[[#This Row],[Diabetic]]="Yes"),"Yes","No")</f>
        <v>Yes</v>
      </c>
      <c r="P363" t="str">
        <f>IF(OR(Table1[[#This Row],[Smoker]]="Yes",Table1[[#This Row],[Diabetic]]="Yes"),"Yes","No")</f>
        <v>Yes</v>
      </c>
      <c r="Q363" s="1" t="str">
        <f>IF(OR(Table1[[#This Row],[Systolic]]&gt;125,Table1[[#This Row],[Diastolic]]&gt;90),"High","Normal")</f>
        <v>High</v>
      </c>
      <c r="R363" s="1">
        <f>Table1[[#This Row],[Discharge_Date]]-Table1[[#This Row],[Admission_Date]]</f>
        <v>2</v>
      </c>
      <c r="S363" s="1"/>
    </row>
    <row r="364" spans="1:19" x14ac:dyDescent="0.3">
      <c r="A364" t="s">
        <v>385</v>
      </c>
      <c r="B364">
        <v>71</v>
      </c>
      <c r="C364" t="s">
        <v>12</v>
      </c>
      <c r="D364">
        <v>26.2</v>
      </c>
      <c r="E364">
        <v>155</v>
      </c>
      <c r="F364">
        <v>97</v>
      </c>
      <c r="G364" t="s">
        <v>13</v>
      </c>
      <c r="H364" t="s">
        <v>13</v>
      </c>
      <c r="I364" t="s">
        <v>34</v>
      </c>
      <c r="J364" s="2">
        <v>4023.08</v>
      </c>
      <c r="K364" s="3">
        <v>45767</v>
      </c>
      <c r="L364" s="3">
        <v>45770</v>
      </c>
      <c r="M364" t="s">
        <v>23</v>
      </c>
      <c r="N364" t="str">
        <f>IF(Table1[[#This Row],[Age]]&lt;25,"&lt; 25",IF(Table1[[#This Row],[Age]]&lt;36,"25-35",IF(Table1[[#This Row],[Age]]&lt;51,"36-50",IF(Table1[[#This Row],[Age]]&lt;66,"51-65",IF(Table1[[#This Row],[Age]]&gt;65,"&gt;65","none")))))</f>
        <v>&gt;65</v>
      </c>
      <c r="O364" t="str">
        <f>IF(AND(Table1[[#This Row],[Smoker]]="Yes",Table1[[#This Row],[Diabetic]]="Yes"),"Yes","No")</f>
        <v>No</v>
      </c>
      <c r="P364" t="str">
        <f>IF(OR(Table1[[#This Row],[Smoker]]="Yes",Table1[[#This Row],[Diabetic]]="Yes"),"Yes","No")</f>
        <v>No</v>
      </c>
      <c r="Q364" s="1" t="str">
        <f>IF(OR(Table1[[#This Row],[Systolic]]&gt;125,Table1[[#This Row],[Diastolic]]&gt;90),"High","Normal")</f>
        <v>High</v>
      </c>
      <c r="R364" s="1">
        <f>Table1[[#This Row],[Discharge_Date]]-Table1[[#This Row],[Admission_Date]]</f>
        <v>3</v>
      </c>
      <c r="S364" s="1"/>
    </row>
    <row r="365" spans="1:19" x14ac:dyDescent="0.3">
      <c r="A365" t="s">
        <v>386</v>
      </c>
      <c r="B365">
        <v>88</v>
      </c>
      <c r="C365" t="s">
        <v>12</v>
      </c>
      <c r="D365">
        <v>27.5</v>
      </c>
      <c r="E365">
        <v>122</v>
      </c>
      <c r="F365">
        <v>65</v>
      </c>
      <c r="G365" t="s">
        <v>14</v>
      </c>
      <c r="H365" t="s">
        <v>13</v>
      </c>
      <c r="I365" t="s">
        <v>34</v>
      </c>
      <c r="J365" s="2">
        <v>4554.22</v>
      </c>
      <c r="K365" s="3">
        <v>45688</v>
      </c>
      <c r="L365" s="3">
        <v>45692</v>
      </c>
      <c r="M365" t="s">
        <v>19</v>
      </c>
      <c r="N365" t="str">
        <f>IF(Table1[[#This Row],[Age]]&lt;25,"&lt; 25",IF(Table1[[#This Row],[Age]]&lt;36,"25-35",IF(Table1[[#This Row],[Age]]&lt;51,"36-50",IF(Table1[[#This Row],[Age]]&lt;66,"51-65",IF(Table1[[#This Row],[Age]]&gt;65,"&gt;65","none")))))</f>
        <v>&gt;65</v>
      </c>
      <c r="O365" t="str">
        <f>IF(AND(Table1[[#This Row],[Smoker]]="Yes",Table1[[#This Row],[Diabetic]]="Yes"),"Yes","No")</f>
        <v>No</v>
      </c>
      <c r="P365" t="str">
        <f>IF(OR(Table1[[#This Row],[Smoker]]="Yes",Table1[[#This Row],[Diabetic]]="Yes"),"Yes","No")</f>
        <v>Yes</v>
      </c>
      <c r="Q365" s="1" t="str">
        <f>IF(OR(Table1[[#This Row],[Systolic]]&gt;125,Table1[[#This Row],[Diastolic]]&gt;90),"High","Normal")</f>
        <v>Normal</v>
      </c>
      <c r="R365" s="1">
        <f>Table1[[#This Row],[Discharge_Date]]-Table1[[#This Row],[Admission_Date]]</f>
        <v>4</v>
      </c>
      <c r="S365" s="1"/>
    </row>
    <row r="366" spans="1:19" x14ac:dyDescent="0.3">
      <c r="A366" t="s">
        <v>387</v>
      </c>
      <c r="B366">
        <v>71</v>
      </c>
      <c r="C366" t="s">
        <v>12</v>
      </c>
      <c r="D366">
        <v>25.5</v>
      </c>
      <c r="E366">
        <v>154</v>
      </c>
      <c r="F366">
        <v>116</v>
      </c>
      <c r="G366" t="s">
        <v>13</v>
      </c>
      <c r="H366" t="s">
        <v>13</v>
      </c>
      <c r="I366" t="s">
        <v>25</v>
      </c>
      <c r="J366" s="2">
        <v>1920.95</v>
      </c>
      <c r="K366" s="3">
        <v>45648</v>
      </c>
      <c r="L366" s="3">
        <v>45649</v>
      </c>
      <c r="M366" t="s">
        <v>19</v>
      </c>
      <c r="N366" t="str">
        <f>IF(Table1[[#This Row],[Age]]&lt;25,"&lt; 25",IF(Table1[[#This Row],[Age]]&lt;36,"25-35",IF(Table1[[#This Row],[Age]]&lt;51,"36-50",IF(Table1[[#This Row],[Age]]&lt;66,"51-65",IF(Table1[[#This Row],[Age]]&gt;65,"&gt;65","none")))))</f>
        <v>&gt;65</v>
      </c>
      <c r="O366" t="str">
        <f>IF(AND(Table1[[#This Row],[Smoker]]="Yes",Table1[[#This Row],[Diabetic]]="Yes"),"Yes","No")</f>
        <v>No</v>
      </c>
      <c r="P366" t="str">
        <f>IF(OR(Table1[[#This Row],[Smoker]]="Yes",Table1[[#This Row],[Diabetic]]="Yes"),"Yes","No")</f>
        <v>No</v>
      </c>
      <c r="Q366" s="1" t="str">
        <f>IF(OR(Table1[[#This Row],[Systolic]]&gt;125,Table1[[#This Row],[Diastolic]]&gt;90),"High","Normal")</f>
        <v>High</v>
      </c>
      <c r="R366" s="1">
        <f>Table1[[#This Row],[Discharge_Date]]-Table1[[#This Row],[Admission_Date]]</f>
        <v>1</v>
      </c>
      <c r="S366" s="1"/>
    </row>
    <row r="367" spans="1:19" x14ac:dyDescent="0.3">
      <c r="A367" t="s">
        <v>388</v>
      </c>
      <c r="B367">
        <v>63</v>
      </c>
      <c r="C367" t="s">
        <v>12</v>
      </c>
      <c r="D367">
        <v>24.3</v>
      </c>
      <c r="E367">
        <v>145</v>
      </c>
      <c r="F367">
        <v>105</v>
      </c>
      <c r="G367" t="s">
        <v>13</v>
      </c>
      <c r="H367" t="s">
        <v>13</v>
      </c>
      <c r="I367" t="s">
        <v>21</v>
      </c>
      <c r="J367" s="2">
        <v>4375.96</v>
      </c>
      <c r="K367" s="3">
        <v>45743</v>
      </c>
      <c r="L367" s="3">
        <v>45744</v>
      </c>
      <c r="M367" t="s">
        <v>16</v>
      </c>
      <c r="N367" t="str">
        <f>IF(Table1[[#This Row],[Age]]&lt;25,"&lt; 25",IF(Table1[[#This Row],[Age]]&lt;36,"25-35",IF(Table1[[#This Row],[Age]]&lt;51,"36-50",IF(Table1[[#This Row],[Age]]&lt;66,"51-65",IF(Table1[[#This Row],[Age]]&gt;65,"&gt;65","none")))))</f>
        <v>51-65</v>
      </c>
      <c r="O367" t="str">
        <f>IF(AND(Table1[[#This Row],[Smoker]]="Yes",Table1[[#This Row],[Diabetic]]="Yes"),"Yes","No")</f>
        <v>No</v>
      </c>
      <c r="P367" t="str">
        <f>IF(OR(Table1[[#This Row],[Smoker]]="Yes",Table1[[#This Row],[Diabetic]]="Yes"),"Yes","No")</f>
        <v>No</v>
      </c>
      <c r="Q367" s="1" t="str">
        <f>IF(OR(Table1[[#This Row],[Systolic]]&gt;125,Table1[[#This Row],[Diastolic]]&gt;90),"High","Normal")</f>
        <v>High</v>
      </c>
      <c r="R367" s="1">
        <f>Table1[[#This Row],[Discharge_Date]]-Table1[[#This Row],[Admission_Date]]</f>
        <v>1</v>
      </c>
      <c r="S367" s="1"/>
    </row>
    <row r="368" spans="1:19" x14ac:dyDescent="0.3">
      <c r="A368" t="s">
        <v>389</v>
      </c>
      <c r="B368">
        <v>66</v>
      </c>
      <c r="C368" t="s">
        <v>12</v>
      </c>
      <c r="D368">
        <v>23</v>
      </c>
      <c r="E368">
        <v>177</v>
      </c>
      <c r="F368">
        <v>120</v>
      </c>
      <c r="G368" t="s">
        <v>14</v>
      </c>
      <c r="H368" t="s">
        <v>13</v>
      </c>
      <c r="I368" t="s">
        <v>21</v>
      </c>
      <c r="J368" s="2">
        <v>253.81</v>
      </c>
      <c r="K368" s="3">
        <v>45657</v>
      </c>
      <c r="L368" s="3">
        <v>45658</v>
      </c>
      <c r="M368" t="s">
        <v>16</v>
      </c>
      <c r="N368" t="str">
        <f>IF(Table1[[#This Row],[Age]]&lt;25,"&lt; 25",IF(Table1[[#This Row],[Age]]&lt;36,"25-35",IF(Table1[[#This Row],[Age]]&lt;51,"36-50",IF(Table1[[#This Row],[Age]]&lt;66,"51-65",IF(Table1[[#This Row],[Age]]&gt;65,"&gt;65","none")))))</f>
        <v>&gt;65</v>
      </c>
      <c r="O368" t="str">
        <f>IF(AND(Table1[[#This Row],[Smoker]]="Yes",Table1[[#This Row],[Diabetic]]="Yes"),"Yes","No")</f>
        <v>No</v>
      </c>
      <c r="P368" t="str">
        <f>IF(OR(Table1[[#This Row],[Smoker]]="Yes",Table1[[#This Row],[Diabetic]]="Yes"),"Yes","No")</f>
        <v>Yes</v>
      </c>
      <c r="Q368" s="1" t="str">
        <f>IF(OR(Table1[[#This Row],[Systolic]]&gt;125,Table1[[#This Row],[Diastolic]]&gt;90),"High","Normal")</f>
        <v>High</v>
      </c>
      <c r="R368" s="1">
        <f>Table1[[#This Row],[Discharge_Date]]-Table1[[#This Row],[Admission_Date]]</f>
        <v>1</v>
      </c>
      <c r="S368" s="1"/>
    </row>
    <row r="369" spans="1:19" x14ac:dyDescent="0.3">
      <c r="A369" t="s">
        <v>390</v>
      </c>
      <c r="B369">
        <v>63</v>
      </c>
      <c r="C369" t="s">
        <v>18</v>
      </c>
      <c r="D369">
        <v>32.299999999999997</v>
      </c>
      <c r="E369">
        <v>152</v>
      </c>
      <c r="F369">
        <v>84</v>
      </c>
      <c r="G369" t="s">
        <v>14</v>
      </c>
      <c r="H369" t="s">
        <v>13</v>
      </c>
      <c r="I369" t="s">
        <v>25</v>
      </c>
      <c r="J369" s="2">
        <v>286.42</v>
      </c>
      <c r="K369" s="3">
        <v>45842</v>
      </c>
      <c r="L369" s="3">
        <v>45847</v>
      </c>
      <c r="M369" t="s">
        <v>19</v>
      </c>
      <c r="N369" t="str">
        <f>IF(Table1[[#This Row],[Age]]&lt;25,"&lt; 25",IF(Table1[[#This Row],[Age]]&lt;36,"25-35",IF(Table1[[#This Row],[Age]]&lt;51,"36-50",IF(Table1[[#This Row],[Age]]&lt;66,"51-65",IF(Table1[[#This Row],[Age]]&gt;65,"&gt;65","none")))))</f>
        <v>51-65</v>
      </c>
      <c r="O369" t="str">
        <f>IF(AND(Table1[[#This Row],[Smoker]]="Yes",Table1[[#This Row],[Diabetic]]="Yes"),"Yes","No")</f>
        <v>No</v>
      </c>
      <c r="P369" t="str">
        <f>IF(OR(Table1[[#This Row],[Smoker]]="Yes",Table1[[#This Row],[Diabetic]]="Yes"),"Yes","No")</f>
        <v>Yes</v>
      </c>
      <c r="Q369" s="1" t="str">
        <f>IF(OR(Table1[[#This Row],[Systolic]]&gt;125,Table1[[#This Row],[Diastolic]]&gt;90),"High","Normal")</f>
        <v>High</v>
      </c>
      <c r="R369" s="1">
        <f>Table1[[#This Row],[Discharge_Date]]-Table1[[#This Row],[Admission_Date]]</f>
        <v>5</v>
      </c>
      <c r="S369" s="1"/>
    </row>
    <row r="370" spans="1:19" x14ac:dyDescent="0.3">
      <c r="A370" t="s">
        <v>391</v>
      </c>
      <c r="B370">
        <v>54</v>
      </c>
      <c r="C370" t="s">
        <v>12</v>
      </c>
      <c r="D370">
        <v>28.6</v>
      </c>
      <c r="E370">
        <v>125</v>
      </c>
      <c r="F370">
        <v>78</v>
      </c>
      <c r="G370" t="s">
        <v>14</v>
      </c>
      <c r="H370" t="s">
        <v>13</v>
      </c>
      <c r="I370" t="s">
        <v>15</v>
      </c>
      <c r="J370" s="2">
        <v>4038.41</v>
      </c>
      <c r="K370" s="3">
        <v>45858</v>
      </c>
      <c r="L370" s="3">
        <v>45863</v>
      </c>
      <c r="M370" t="s">
        <v>23</v>
      </c>
      <c r="N370" t="str">
        <f>IF(Table1[[#This Row],[Age]]&lt;25,"&lt; 25",IF(Table1[[#This Row],[Age]]&lt;36,"25-35",IF(Table1[[#This Row],[Age]]&lt;51,"36-50",IF(Table1[[#This Row],[Age]]&lt;66,"51-65",IF(Table1[[#This Row],[Age]]&gt;65,"&gt;65","none")))))</f>
        <v>51-65</v>
      </c>
      <c r="O370" t="str">
        <f>IF(AND(Table1[[#This Row],[Smoker]]="Yes",Table1[[#This Row],[Diabetic]]="Yes"),"Yes","No")</f>
        <v>No</v>
      </c>
      <c r="P370" t="str">
        <f>IF(OR(Table1[[#This Row],[Smoker]]="Yes",Table1[[#This Row],[Diabetic]]="Yes"),"Yes","No")</f>
        <v>Yes</v>
      </c>
      <c r="Q370" s="1" t="str">
        <f>IF(OR(Table1[[#This Row],[Systolic]]&gt;125,Table1[[#This Row],[Diastolic]]&gt;90),"High","Normal")</f>
        <v>Normal</v>
      </c>
      <c r="R370" s="1">
        <f>Table1[[#This Row],[Discharge_Date]]-Table1[[#This Row],[Admission_Date]]</f>
        <v>5</v>
      </c>
      <c r="S370" s="1"/>
    </row>
    <row r="371" spans="1:19" x14ac:dyDescent="0.3">
      <c r="A371" t="s">
        <v>392</v>
      </c>
      <c r="B371">
        <v>77</v>
      </c>
      <c r="C371" t="s">
        <v>18</v>
      </c>
      <c r="D371">
        <v>25.2</v>
      </c>
      <c r="E371">
        <v>133</v>
      </c>
      <c r="F371">
        <v>77</v>
      </c>
      <c r="G371" t="s">
        <v>14</v>
      </c>
      <c r="H371" t="s">
        <v>13</v>
      </c>
      <c r="I371" t="s">
        <v>25</v>
      </c>
      <c r="J371" s="2">
        <v>2174.29</v>
      </c>
      <c r="K371" s="3">
        <v>45679</v>
      </c>
      <c r="L371" s="3">
        <v>45684</v>
      </c>
      <c r="M371" t="s">
        <v>19</v>
      </c>
      <c r="N371" t="str">
        <f>IF(Table1[[#This Row],[Age]]&lt;25,"&lt; 25",IF(Table1[[#This Row],[Age]]&lt;36,"25-35",IF(Table1[[#This Row],[Age]]&lt;51,"36-50",IF(Table1[[#This Row],[Age]]&lt;66,"51-65",IF(Table1[[#This Row],[Age]]&gt;65,"&gt;65","none")))))</f>
        <v>&gt;65</v>
      </c>
      <c r="O371" t="str">
        <f>IF(AND(Table1[[#This Row],[Smoker]]="Yes",Table1[[#This Row],[Diabetic]]="Yes"),"Yes","No")</f>
        <v>No</v>
      </c>
      <c r="P371" t="str">
        <f>IF(OR(Table1[[#This Row],[Smoker]]="Yes",Table1[[#This Row],[Diabetic]]="Yes"),"Yes","No")</f>
        <v>Yes</v>
      </c>
      <c r="Q371" s="1" t="str">
        <f>IF(OR(Table1[[#This Row],[Systolic]]&gt;125,Table1[[#This Row],[Diastolic]]&gt;90),"High","Normal")</f>
        <v>High</v>
      </c>
      <c r="R371" s="1">
        <f>Table1[[#This Row],[Discharge_Date]]-Table1[[#This Row],[Admission_Date]]</f>
        <v>5</v>
      </c>
      <c r="S371" s="1"/>
    </row>
    <row r="372" spans="1:19" x14ac:dyDescent="0.3">
      <c r="A372" t="s">
        <v>393</v>
      </c>
      <c r="B372">
        <v>53</v>
      </c>
      <c r="C372" t="s">
        <v>18</v>
      </c>
      <c r="D372">
        <v>36.1</v>
      </c>
      <c r="E372">
        <v>115</v>
      </c>
      <c r="F372">
        <v>61</v>
      </c>
      <c r="G372" t="s">
        <v>14</v>
      </c>
      <c r="H372" t="s">
        <v>14</v>
      </c>
      <c r="I372" t="s">
        <v>15</v>
      </c>
      <c r="J372" s="2">
        <v>3905.6</v>
      </c>
      <c r="K372" s="3">
        <v>45790</v>
      </c>
      <c r="L372" s="3">
        <v>45794</v>
      </c>
      <c r="M372" t="s">
        <v>23</v>
      </c>
      <c r="N372" t="str">
        <f>IF(Table1[[#This Row],[Age]]&lt;25,"&lt; 25",IF(Table1[[#This Row],[Age]]&lt;36,"25-35",IF(Table1[[#This Row],[Age]]&lt;51,"36-50",IF(Table1[[#This Row],[Age]]&lt;66,"51-65",IF(Table1[[#This Row],[Age]]&gt;65,"&gt;65","none")))))</f>
        <v>51-65</v>
      </c>
      <c r="O372" t="str">
        <f>IF(AND(Table1[[#This Row],[Smoker]]="Yes",Table1[[#This Row],[Diabetic]]="Yes"),"Yes","No")</f>
        <v>Yes</v>
      </c>
      <c r="P372" t="str">
        <f>IF(OR(Table1[[#This Row],[Smoker]]="Yes",Table1[[#This Row],[Diabetic]]="Yes"),"Yes","No")</f>
        <v>Yes</v>
      </c>
      <c r="Q372" s="1" t="str">
        <f>IF(OR(Table1[[#This Row],[Systolic]]&gt;125,Table1[[#This Row],[Diastolic]]&gt;90),"High","Normal")</f>
        <v>Normal</v>
      </c>
      <c r="R372" s="1">
        <f>Table1[[#This Row],[Discharge_Date]]-Table1[[#This Row],[Admission_Date]]</f>
        <v>4</v>
      </c>
      <c r="S372" s="1"/>
    </row>
    <row r="373" spans="1:19" x14ac:dyDescent="0.3">
      <c r="A373" t="s">
        <v>394</v>
      </c>
      <c r="B373">
        <v>64</v>
      </c>
      <c r="C373" t="s">
        <v>18</v>
      </c>
      <c r="D373">
        <v>34.4</v>
      </c>
      <c r="E373">
        <v>116</v>
      </c>
      <c r="F373">
        <v>71</v>
      </c>
      <c r="G373" t="s">
        <v>14</v>
      </c>
      <c r="H373" t="s">
        <v>14</v>
      </c>
      <c r="I373" t="s">
        <v>21</v>
      </c>
      <c r="J373" s="2">
        <v>788.35</v>
      </c>
      <c r="K373" s="3">
        <v>45663</v>
      </c>
      <c r="L373" s="3">
        <v>45665</v>
      </c>
      <c r="M373" t="s">
        <v>23</v>
      </c>
      <c r="N373" t="str">
        <f>IF(Table1[[#This Row],[Age]]&lt;25,"&lt; 25",IF(Table1[[#This Row],[Age]]&lt;36,"25-35",IF(Table1[[#This Row],[Age]]&lt;51,"36-50",IF(Table1[[#This Row],[Age]]&lt;66,"51-65",IF(Table1[[#This Row],[Age]]&gt;65,"&gt;65","none")))))</f>
        <v>51-65</v>
      </c>
      <c r="O373" t="str">
        <f>IF(AND(Table1[[#This Row],[Smoker]]="Yes",Table1[[#This Row],[Diabetic]]="Yes"),"Yes","No")</f>
        <v>Yes</v>
      </c>
      <c r="P373" t="str">
        <f>IF(OR(Table1[[#This Row],[Smoker]]="Yes",Table1[[#This Row],[Diabetic]]="Yes"),"Yes","No")</f>
        <v>Yes</v>
      </c>
      <c r="Q373" s="1" t="str">
        <f>IF(OR(Table1[[#This Row],[Systolic]]&gt;125,Table1[[#This Row],[Diastolic]]&gt;90),"High","Normal")</f>
        <v>Normal</v>
      </c>
      <c r="R373" s="1">
        <f>Table1[[#This Row],[Discharge_Date]]-Table1[[#This Row],[Admission_Date]]</f>
        <v>2</v>
      </c>
      <c r="S373" s="1"/>
    </row>
    <row r="374" spans="1:19" x14ac:dyDescent="0.3">
      <c r="A374" t="s">
        <v>395</v>
      </c>
      <c r="B374">
        <v>85</v>
      </c>
      <c r="C374" t="s">
        <v>18</v>
      </c>
      <c r="D374">
        <v>19.7</v>
      </c>
      <c r="E374">
        <v>166</v>
      </c>
      <c r="F374">
        <v>70</v>
      </c>
      <c r="G374" t="s">
        <v>14</v>
      </c>
      <c r="H374" t="s">
        <v>14</v>
      </c>
      <c r="I374" t="s">
        <v>25</v>
      </c>
      <c r="J374" s="2">
        <v>2922.75</v>
      </c>
      <c r="K374" s="3">
        <v>45743</v>
      </c>
      <c r="L374" s="3">
        <v>45751</v>
      </c>
      <c r="M374" t="s">
        <v>19</v>
      </c>
      <c r="N374" t="str">
        <f>IF(Table1[[#This Row],[Age]]&lt;25,"&lt; 25",IF(Table1[[#This Row],[Age]]&lt;36,"25-35",IF(Table1[[#This Row],[Age]]&lt;51,"36-50",IF(Table1[[#This Row],[Age]]&lt;66,"51-65",IF(Table1[[#This Row],[Age]]&gt;65,"&gt;65","none")))))</f>
        <v>&gt;65</v>
      </c>
      <c r="O374" t="str">
        <f>IF(AND(Table1[[#This Row],[Smoker]]="Yes",Table1[[#This Row],[Diabetic]]="Yes"),"Yes","No")</f>
        <v>Yes</v>
      </c>
      <c r="P374" t="str">
        <f>IF(OR(Table1[[#This Row],[Smoker]]="Yes",Table1[[#This Row],[Diabetic]]="Yes"),"Yes","No")</f>
        <v>Yes</v>
      </c>
      <c r="Q374" s="1" t="str">
        <f>IF(OR(Table1[[#This Row],[Systolic]]&gt;125,Table1[[#This Row],[Diastolic]]&gt;90),"High","Normal")</f>
        <v>High</v>
      </c>
      <c r="R374" s="1">
        <f>Table1[[#This Row],[Discharge_Date]]-Table1[[#This Row],[Admission_Date]]</f>
        <v>8</v>
      </c>
      <c r="S374" s="1"/>
    </row>
    <row r="375" spans="1:19" x14ac:dyDescent="0.3">
      <c r="A375" t="s">
        <v>396</v>
      </c>
      <c r="B375">
        <v>51</v>
      </c>
      <c r="C375" t="s">
        <v>18</v>
      </c>
      <c r="D375">
        <v>37.1</v>
      </c>
      <c r="E375">
        <v>171</v>
      </c>
      <c r="F375">
        <v>91</v>
      </c>
      <c r="G375" t="s">
        <v>13</v>
      </c>
      <c r="H375" t="s">
        <v>13</v>
      </c>
      <c r="I375" t="s">
        <v>25</v>
      </c>
      <c r="J375" s="2">
        <v>3675.59</v>
      </c>
      <c r="K375" s="3">
        <v>45621</v>
      </c>
      <c r="L375" s="3">
        <v>45633</v>
      </c>
      <c r="M375" t="s">
        <v>19</v>
      </c>
      <c r="N375" t="str">
        <f>IF(Table1[[#This Row],[Age]]&lt;25,"&lt; 25",IF(Table1[[#This Row],[Age]]&lt;36,"25-35",IF(Table1[[#This Row],[Age]]&lt;51,"36-50",IF(Table1[[#This Row],[Age]]&lt;66,"51-65",IF(Table1[[#This Row],[Age]]&gt;65,"&gt;65","none")))))</f>
        <v>51-65</v>
      </c>
      <c r="O375" t="str">
        <f>IF(AND(Table1[[#This Row],[Smoker]]="Yes",Table1[[#This Row],[Diabetic]]="Yes"),"Yes","No")</f>
        <v>No</v>
      </c>
      <c r="P375" t="str">
        <f>IF(OR(Table1[[#This Row],[Smoker]]="Yes",Table1[[#This Row],[Diabetic]]="Yes"),"Yes","No")</f>
        <v>No</v>
      </c>
      <c r="Q375" s="1" t="str">
        <f>IF(OR(Table1[[#This Row],[Systolic]]&gt;125,Table1[[#This Row],[Diastolic]]&gt;90),"High","Normal")</f>
        <v>High</v>
      </c>
      <c r="R375" s="1">
        <f>Table1[[#This Row],[Discharge_Date]]-Table1[[#This Row],[Admission_Date]]</f>
        <v>12</v>
      </c>
      <c r="S375" s="1"/>
    </row>
    <row r="376" spans="1:19" x14ac:dyDescent="0.3">
      <c r="A376" t="s">
        <v>397</v>
      </c>
      <c r="B376">
        <v>30</v>
      </c>
      <c r="C376" t="s">
        <v>12</v>
      </c>
      <c r="D376">
        <v>25.2</v>
      </c>
      <c r="E376">
        <v>164</v>
      </c>
      <c r="F376">
        <v>66</v>
      </c>
      <c r="G376" t="s">
        <v>13</v>
      </c>
      <c r="H376" t="s">
        <v>14</v>
      </c>
      <c r="I376" t="s">
        <v>21</v>
      </c>
      <c r="J376" s="2">
        <v>3007.9</v>
      </c>
      <c r="K376" s="3">
        <v>45826</v>
      </c>
      <c r="L376" s="3">
        <v>45834</v>
      </c>
      <c r="M376" t="s">
        <v>19</v>
      </c>
      <c r="N376" t="str">
        <f>IF(Table1[[#This Row],[Age]]&lt;25,"&lt; 25",IF(Table1[[#This Row],[Age]]&lt;36,"25-35",IF(Table1[[#This Row],[Age]]&lt;51,"36-50",IF(Table1[[#This Row],[Age]]&lt;66,"51-65",IF(Table1[[#This Row],[Age]]&gt;65,"&gt;65","none")))))</f>
        <v>25-35</v>
      </c>
      <c r="O376" t="str">
        <f>IF(AND(Table1[[#This Row],[Smoker]]="Yes",Table1[[#This Row],[Diabetic]]="Yes"),"Yes","No")</f>
        <v>No</v>
      </c>
      <c r="P376" t="str">
        <f>IF(OR(Table1[[#This Row],[Smoker]]="Yes",Table1[[#This Row],[Diabetic]]="Yes"),"Yes","No")</f>
        <v>Yes</v>
      </c>
      <c r="Q376" s="1" t="str">
        <f>IF(OR(Table1[[#This Row],[Systolic]]&gt;125,Table1[[#This Row],[Diastolic]]&gt;90),"High","Normal")</f>
        <v>High</v>
      </c>
      <c r="R376" s="1">
        <f>Table1[[#This Row],[Discharge_Date]]-Table1[[#This Row],[Admission_Date]]</f>
        <v>8</v>
      </c>
      <c r="S376" s="1"/>
    </row>
    <row r="377" spans="1:19" x14ac:dyDescent="0.3">
      <c r="A377" t="s">
        <v>398</v>
      </c>
      <c r="B377">
        <v>69</v>
      </c>
      <c r="C377" t="s">
        <v>18</v>
      </c>
      <c r="D377">
        <v>32.1</v>
      </c>
      <c r="E377">
        <v>110</v>
      </c>
      <c r="F377">
        <v>68</v>
      </c>
      <c r="G377" t="s">
        <v>13</v>
      </c>
      <c r="H377" t="s">
        <v>13</v>
      </c>
      <c r="I377" t="s">
        <v>34</v>
      </c>
      <c r="J377" s="2">
        <v>1019.52</v>
      </c>
      <c r="K377" s="3">
        <v>45632</v>
      </c>
      <c r="L377" s="3">
        <v>45637</v>
      </c>
      <c r="M377" t="s">
        <v>23</v>
      </c>
      <c r="N377" t="str">
        <f>IF(Table1[[#This Row],[Age]]&lt;25,"&lt; 25",IF(Table1[[#This Row],[Age]]&lt;36,"25-35",IF(Table1[[#This Row],[Age]]&lt;51,"36-50",IF(Table1[[#This Row],[Age]]&lt;66,"51-65",IF(Table1[[#This Row],[Age]]&gt;65,"&gt;65","none")))))</f>
        <v>&gt;65</v>
      </c>
      <c r="O377" t="str">
        <f>IF(AND(Table1[[#This Row],[Smoker]]="Yes",Table1[[#This Row],[Diabetic]]="Yes"),"Yes","No")</f>
        <v>No</v>
      </c>
      <c r="P377" t="str">
        <f>IF(OR(Table1[[#This Row],[Smoker]]="Yes",Table1[[#This Row],[Diabetic]]="Yes"),"Yes","No")</f>
        <v>No</v>
      </c>
      <c r="Q377" s="1" t="str">
        <f>IF(OR(Table1[[#This Row],[Systolic]]&gt;125,Table1[[#This Row],[Diastolic]]&gt;90),"High","Normal")</f>
        <v>Normal</v>
      </c>
      <c r="R377" s="1">
        <f>Table1[[#This Row],[Discharge_Date]]-Table1[[#This Row],[Admission_Date]]</f>
        <v>5</v>
      </c>
      <c r="S377" s="1"/>
    </row>
    <row r="378" spans="1:19" x14ac:dyDescent="0.3">
      <c r="A378" t="s">
        <v>399</v>
      </c>
      <c r="B378">
        <v>59</v>
      </c>
      <c r="C378" t="s">
        <v>12</v>
      </c>
      <c r="D378">
        <v>19.100000000000001</v>
      </c>
      <c r="E378">
        <v>175</v>
      </c>
      <c r="F378">
        <v>61</v>
      </c>
      <c r="G378" t="s">
        <v>14</v>
      </c>
      <c r="H378" t="s">
        <v>14</v>
      </c>
      <c r="I378" t="s">
        <v>34</v>
      </c>
      <c r="J378" s="2">
        <v>2887.03</v>
      </c>
      <c r="K378" s="3">
        <v>45682</v>
      </c>
      <c r="L378" s="3">
        <v>45690</v>
      </c>
      <c r="M378" t="s">
        <v>23</v>
      </c>
      <c r="N378" t="str">
        <f>IF(Table1[[#This Row],[Age]]&lt;25,"&lt; 25",IF(Table1[[#This Row],[Age]]&lt;36,"25-35",IF(Table1[[#This Row],[Age]]&lt;51,"36-50",IF(Table1[[#This Row],[Age]]&lt;66,"51-65",IF(Table1[[#This Row],[Age]]&gt;65,"&gt;65","none")))))</f>
        <v>51-65</v>
      </c>
      <c r="O378" t="str">
        <f>IF(AND(Table1[[#This Row],[Smoker]]="Yes",Table1[[#This Row],[Diabetic]]="Yes"),"Yes","No")</f>
        <v>Yes</v>
      </c>
      <c r="P378" t="str">
        <f>IF(OR(Table1[[#This Row],[Smoker]]="Yes",Table1[[#This Row],[Diabetic]]="Yes"),"Yes","No")</f>
        <v>Yes</v>
      </c>
      <c r="Q378" s="1" t="str">
        <f>IF(OR(Table1[[#This Row],[Systolic]]&gt;125,Table1[[#This Row],[Diastolic]]&gt;90),"High","Normal")</f>
        <v>High</v>
      </c>
      <c r="R378" s="1">
        <f>Table1[[#This Row],[Discharge_Date]]-Table1[[#This Row],[Admission_Date]]</f>
        <v>8</v>
      </c>
      <c r="S378" s="1"/>
    </row>
    <row r="379" spans="1:19" x14ac:dyDescent="0.3">
      <c r="A379" t="s">
        <v>400</v>
      </c>
      <c r="B379">
        <v>21</v>
      </c>
      <c r="C379" t="s">
        <v>12</v>
      </c>
      <c r="D379">
        <v>21.5</v>
      </c>
      <c r="E379">
        <v>168</v>
      </c>
      <c r="F379">
        <v>98</v>
      </c>
      <c r="G379" t="s">
        <v>13</v>
      </c>
      <c r="H379" t="s">
        <v>14</v>
      </c>
      <c r="I379" t="s">
        <v>25</v>
      </c>
      <c r="J379" s="2">
        <v>788.72</v>
      </c>
      <c r="K379" s="3">
        <v>45818</v>
      </c>
      <c r="L379" s="3">
        <v>45819</v>
      </c>
      <c r="M379" t="s">
        <v>19</v>
      </c>
      <c r="N379" t="str">
        <f>IF(Table1[[#This Row],[Age]]&lt;25,"&lt; 25",IF(Table1[[#This Row],[Age]]&lt;36,"25-35",IF(Table1[[#This Row],[Age]]&lt;51,"36-50",IF(Table1[[#This Row],[Age]]&lt;66,"51-65",IF(Table1[[#This Row],[Age]]&gt;65,"&gt;65","none")))))</f>
        <v>&lt; 25</v>
      </c>
      <c r="O379" t="str">
        <f>IF(AND(Table1[[#This Row],[Smoker]]="Yes",Table1[[#This Row],[Diabetic]]="Yes"),"Yes","No")</f>
        <v>No</v>
      </c>
      <c r="P379" t="str">
        <f>IF(OR(Table1[[#This Row],[Smoker]]="Yes",Table1[[#This Row],[Diabetic]]="Yes"),"Yes","No")</f>
        <v>Yes</v>
      </c>
      <c r="Q379" s="1" t="str">
        <f>IF(OR(Table1[[#This Row],[Systolic]]&gt;125,Table1[[#This Row],[Diastolic]]&gt;90),"High","Normal")</f>
        <v>High</v>
      </c>
      <c r="R379" s="1">
        <f>Table1[[#This Row],[Discharge_Date]]-Table1[[#This Row],[Admission_Date]]</f>
        <v>1</v>
      </c>
      <c r="S379" s="1"/>
    </row>
    <row r="380" spans="1:19" x14ac:dyDescent="0.3">
      <c r="A380" t="s">
        <v>401</v>
      </c>
      <c r="B380">
        <v>42</v>
      </c>
      <c r="C380" t="s">
        <v>12</v>
      </c>
      <c r="D380">
        <v>38.799999999999997</v>
      </c>
      <c r="E380">
        <v>174</v>
      </c>
      <c r="F380">
        <v>69</v>
      </c>
      <c r="G380" t="s">
        <v>13</v>
      </c>
      <c r="H380" t="s">
        <v>14</v>
      </c>
      <c r="I380" t="s">
        <v>34</v>
      </c>
      <c r="J380" s="2">
        <v>1254.74</v>
      </c>
      <c r="K380" s="3">
        <v>45829</v>
      </c>
      <c r="L380" s="3">
        <v>45840</v>
      </c>
      <c r="M380" t="s">
        <v>23</v>
      </c>
      <c r="N380" t="str">
        <f>IF(Table1[[#This Row],[Age]]&lt;25,"&lt; 25",IF(Table1[[#This Row],[Age]]&lt;36,"25-35",IF(Table1[[#This Row],[Age]]&lt;51,"36-50",IF(Table1[[#This Row],[Age]]&lt;66,"51-65",IF(Table1[[#This Row],[Age]]&gt;65,"&gt;65","none")))))</f>
        <v>36-50</v>
      </c>
      <c r="O380" t="str">
        <f>IF(AND(Table1[[#This Row],[Smoker]]="Yes",Table1[[#This Row],[Diabetic]]="Yes"),"Yes","No")</f>
        <v>No</v>
      </c>
      <c r="P380" t="str">
        <f>IF(OR(Table1[[#This Row],[Smoker]]="Yes",Table1[[#This Row],[Diabetic]]="Yes"),"Yes","No")</f>
        <v>Yes</v>
      </c>
      <c r="Q380" s="1" t="str">
        <f>IF(OR(Table1[[#This Row],[Systolic]]&gt;125,Table1[[#This Row],[Diastolic]]&gt;90),"High","Normal")</f>
        <v>High</v>
      </c>
      <c r="R380" s="1">
        <f>Table1[[#This Row],[Discharge_Date]]-Table1[[#This Row],[Admission_Date]]</f>
        <v>11</v>
      </c>
      <c r="S380" s="1"/>
    </row>
    <row r="381" spans="1:19" x14ac:dyDescent="0.3">
      <c r="A381" t="s">
        <v>402</v>
      </c>
      <c r="B381">
        <v>21</v>
      </c>
      <c r="C381" t="s">
        <v>18</v>
      </c>
      <c r="D381">
        <v>21.3</v>
      </c>
      <c r="E381">
        <v>138</v>
      </c>
      <c r="F381">
        <v>97</v>
      </c>
      <c r="G381" t="s">
        <v>14</v>
      </c>
      <c r="H381" t="s">
        <v>13</v>
      </c>
      <c r="I381" t="s">
        <v>32</v>
      </c>
      <c r="J381" s="2">
        <v>1165.23</v>
      </c>
      <c r="K381" s="3">
        <v>45842</v>
      </c>
      <c r="L381" s="3">
        <v>45844</v>
      </c>
      <c r="M381" t="s">
        <v>23</v>
      </c>
      <c r="N381" t="str">
        <f>IF(Table1[[#This Row],[Age]]&lt;25,"&lt; 25",IF(Table1[[#This Row],[Age]]&lt;36,"25-35",IF(Table1[[#This Row],[Age]]&lt;51,"36-50",IF(Table1[[#This Row],[Age]]&lt;66,"51-65",IF(Table1[[#This Row],[Age]]&gt;65,"&gt;65","none")))))</f>
        <v>&lt; 25</v>
      </c>
      <c r="O381" t="str">
        <f>IF(AND(Table1[[#This Row],[Smoker]]="Yes",Table1[[#This Row],[Diabetic]]="Yes"),"Yes","No")</f>
        <v>No</v>
      </c>
      <c r="P381" t="str">
        <f>IF(OR(Table1[[#This Row],[Smoker]]="Yes",Table1[[#This Row],[Diabetic]]="Yes"),"Yes","No")</f>
        <v>Yes</v>
      </c>
      <c r="Q381" s="1" t="str">
        <f>IF(OR(Table1[[#This Row],[Systolic]]&gt;125,Table1[[#This Row],[Diastolic]]&gt;90),"High","Normal")</f>
        <v>High</v>
      </c>
      <c r="R381" s="1">
        <f>Table1[[#This Row],[Discharge_Date]]-Table1[[#This Row],[Admission_Date]]</f>
        <v>2</v>
      </c>
      <c r="S381" s="1"/>
    </row>
    <row r="382" spans="1:19" x14ac:dyDescent="0.3">
      <c r="A382" t="s">
        <v>403</v>
      </c>
      <c r="B382">
        <v>20</v>
      </c>
      <c r="C382" t="s">
        <v>18</v>
      </c>
      <c r="D382">
        <v>28.5</v>
      </c>
      <c r="E382">
        <v>137</v>
      </c>
      <c r="F382">
        <v>91</v>
      </c>
      <c r="G382" t="s">
        <v>13</v>
      </c>
      <c r="H382" t="s">
        <v>14</v>
      </c>
      <c r="I382" t="s">
        <v>25</v>
      </c>
      <c r="J382" s="2">
        <v>3456.55</v>
      </c>
      <c r="K382" s="3">
        <v>45624</v>
      </c>
      <c r="L382" s="3">
        <v>45635</v>
      </c>
      <c r="M382" t="s">
        <v>19</v>
      </c>
      <c r="N382" t="str">
        <f>IF(Table1[[#This Row],[Age]]&lt;25,"&lt; 25",IF(Table1[[#This Row],[Age]]&lt;36,"25-35",IF(Table1[[#This Row],[Age]]&lt;51,"36-50",IF(Table1[[#This Row],[Age]]&lt;66,"51-65",IF(Table1[[#This Row],[Age]]&gt;65,"&gt;65","none")))))</f>
        <v>&lt; 25</v>
      </c>
      <c r="O382" t="str">
        <f>IF(AND(Table1[[#This Row],[Smoker]]="Yes",Table1[[#This Row],[Diabetic]]="Yes"),"Yes","No")</f>
        <v>No</v>
      </c>
      <c r="P382" t="str">
        <f>IF(OR(Table1[[#This Row],[Smoker]]="Yes",Table1[[#This Row],[Diabetic]]="Yes"),"Yes","No")</f>
        <v>Yes</v>
      </c>
      <c r="Q382" s="1" t="str">
        <f>IF(OR(Table1[[#This Row],[Systolic]]&gt;125,Table1[[#This Row],[Diastolic]]&gt;90),"High","Normal")</f>
        <v>High</v>
      </c>
      <c r="R382" s="1">
        <f>Table1[[#This Row],[Discharge_Date]]-Table1[[#This Row],[Admission_Date]]</f>
        <v>11</v>
      </c>
      <c r="S382" s="1"/>
    </row>
    <row r="383" spans="1:19" x14ac:dyDescent="0.3">
      <c r="A383" t="s">
        <v>404</v>
      </c>
      <c r="B383">
        <v>20</v>
      </c>
      <c r="C383" t="s">
        <v>12</v>
      </c>
      <c r="D383">
        <v>24.1</v>
      </c>
      <c r="E383">
        <v>148</v>
      </c>
      <c r="F383">
        <v>93</v>
      </c>
      <c r="G383" t="s">
        <v>14</v>
      </c>
      <c r="H383" t="s">
        <v>13</v>
      </c>
      <c r="I383" t="s">
        <v>32</v>
      </c>
      <c r="J383" s="2">
        <v>4027.19</v>
      </c>
      <c r="K383" s="3">
        <v>45795</v>
      </c>
      <c r="L383" s="3">
        <v>45803</v>
      </c>
      <c r="M383" t="s">
        <v>19</v>
      </c>
      <c r="N383" t="str">
        <f>IF(Table1[[#This Row],[Age]]&lt;25,"&lt; 25",IF(Table1[[#This Row],[Age]]&lt;36,"25-35",IF(Table1[[#This Row],[Age]]&lt;51,"36-50",IF(Table1[[#This Row],[Age]]&lt;66,"51-65",IF(Table1[[#This Row],[Age]]&gt;65,"&gt;65","none")))))</f>
        <v>&lt; 25</v>
      </c>
      <c r="O383" t="str">
        <f>IF(AND(Table1[[#This Row],[Smoker]]="Yes",Table1[[#This Row],[Diabetic]]="Yes"),"Yes","No")</f>
        <v>No</v>
      </c>
      <c r="P383" t="str">
        <f>IF(OR(Table1[[#This Row],[Smoker]]="Yes",Table1[[#This Row],[Diabetic]]="Yes"),"Yes","No")</f>
        <v>Yes</v>
      </c>
      <c r="Q383" s="1" t="str">
        <f>IF(OR(Table1[[#This Row],[Systolic]]&gt;125,Table1[[#This Row],[Diastolic]]&gt;90),"High","Normal")</f>
        <v>High</v>
      </c>
      <c r="R383" s="1">
        <f>Table1[[#This Row],[Discharge_Date]]-Table1[[#This Row],[Admission_Date]]</f>
        <v>8</v>
      </c>
      <c r="S383" s="1"/>
    </row>
    <row r="384" spans="1:19" x14ac:dyDescent="0.3">
      <c r="A384" t="s">
        <v>405</v>
      </c>
      <c r="B384">
        <v>65</v>
      </c>
      <c r="C384" t="s">
        <v>18</v>
      </c>
      <c r="D384">
        <v>25.6</v>
      </c>
      <c r="E384">
        <v>166</v>
      </c>
      <c r="F384">
        <v>82</v>
      </c>
      <c r="G384" t="s">
        <v>14</v>
      </c>
      <c r="H384" t="s">
        <v>14</v>
      </c>
      <c r="I384" t="s">
        <v>25</v>
      </c>
      <c r="J384" s="2">
        <v>2780.24</v>
      </c>
      <c r="K384" s="3">
        <v>45581</v>
      </c>
      <c r="L384" s="3">
        <v>45585</v>
      </c>
      <c r="M384" t="s">
        <v>16</v>
      </c>
      <c r="N384" t="str">
        <f>IF(Table1[[#This Row],[Age]]&lt;25,"&lt; 25",IF(Table1[[#This Row],[Age]]&lt;36,"25-35",IF(Table1[[#This Row],[Age]]&lt;51,"36-50",IF(Table1[[#This Row],[Age]]&lt;66,"51-65",IF(Table1[[#This Row],[Age]]&gt;65,"&gt;65","none")))))</f>
        <v>51-65</v>
      </c>
      <c r="O384" t="str">
        <f>IF(AND(Table1[[#This Row],[Smoker]]="Yes",Table1[[#This Row],[Diabetic]]="Yes"),"Yes","No")</f>
        <v>Yes</v>
      </c>
      <c r="P384" t="str">
        <f>IF(OR(Table1[[#This Row],[Smoker]]="Yes",Table1[[#This Row],[Diabetic]]="Yes"),"Yes","No")</f>
        <v>Yes</v>
      </c>
      <c r="Q384" s="1" t="str">
        <f>IF(OR(Table1[[#This Row],[Systolic]]&gt;125,Table1[[#This Row],[Diastolic]]&gt;90),"High","Normal")</f>
        <v>High</v>
      </c>
      <c r="R384" s="1">
        <f>Table1[[#This Row],[Discharge_Date]]-Table1[[#This Row],[Admission_Date]]</f>
        <v>4</v>
      </c>
      <c r="S384" s="1"/>
    </row>
    <row r="385" spans="1:19" x14ac:dyDescent="0.3">
      <c r="A385" t="s">
        <v>406</v>
      </c>
      <c r="B385">
        <v>19</v>
      </c>
      <c r="C385" t="s">
        <v>18</v>
      </c>
      <c r="D385">
        <v>35.200000000000003</v>
      </c>
      <c r="E385">
        <v>176</v>
      </c>
      <c r="F385">
        <v>78</v>
      </c>
      <c r="G385" t="s">
        <v>14</v>
      </c>
      <c r="H385" t="s">
        <v>13</v>
      </c>
      <c r="I385" t="s">
        <v>32</v>
      </c>
      <c r="J385" s="2">
        <v>1188.04</v>
      </c>
      <c r="K385" s="3">
        <v>45572</v>
      </c>
      <c r="L385" s="3">
        <v>45583</v>
      </c>
      <c r="M385" t="s">
        <v>16</v>
      </c>
      <c r="N385" t="str">
        <f>IF(Table1[[#This Row],[Age]]&lt;25,"&lt; 25",IF(Table1[[#This Row],[Age]]&lt;36,"25-35",IF(Table1[[#This Row],[Age]]&lt;51,"36-50",IF(Table1[[#This Row],[Age]]&lt;66,"51-65",IF(Table1[[#This Row],[Age]]&gt;65,"&gt;65","none")))))</f>
        <v>&lt; 25</v>
      </c>
      <c r="O385" t="str">
        <f>IF(AND(Table1[[#This Row],[Smoker]]="Yes",Table1[[#This Row],[Diabetic]]="Yes"),"Yes","No")</f>
        <v>No</v>
      </c>
      <c r="P385" t="str">
        <f>IF(OR(Table1[[#This Row],[Smoker]]="Yes",Table1[[#This Row],[Diabetic]]="Yes"),"Yes","No")</f>
        <v>Yes</v>
      </c>
      <c r="Q385" s="1" t="str">
        <f>IF(OR(Table1[[#This Row],[Systolic]]&gt;125,Table1[[#This Row],[Diastolic]]&gt;90),"High","Normal")</f>
        <v>High</v>
      </c>
      <c r="R385" s="1">
        <f>Table1[[#This Row],[Discharge_Date]]-Table1[[#This Row],[Admission_Date]]</f>
        <v>11</v>
      </c>
      <c r="S385" s="1"/>
    </row>
    <row r="386" spans="1:19" x14ac:dyDescent="0.3">
      <c r="A386" t="s">
        <v>407</v>
      </c>
      <c r="B386">
        <v>80</v>
      </c>
      <c r="C386" t="s">
        <v>12</v>
      </c>
      <c r="D386">
        <v>30.7</v>
      </c>
      <c r="E386">
        <v>113</v>
      </c>
      <c r="F386">
        <v>85</v>
      </c>
      <c r="G386" t="s">
        <v>13</v>
      </c>
      <c r="H386" t="s">
        <v>13</v>
      </c>
      <c r="I386" t="s">
        <v>25</v>
      </c>
      <c r="J386" s="2">
        <v>2189.54</v>
      </c>
      <c r="K386" s="3">
        <v>45756</v>
      </c>
      <c r="L386" s="3">
        <v>45759</v>
      </c>
      <c r="M386" t="s">
        <v>19</v>
      </c>
      <c r="N386" t="str">
        <f>IF(Table1[[#This Row],[Age]]&lt;25,"&lt; 25",IF(Table1[[#This Row],[Age]]&lt;36,"25-35",IF(Table1[[#This Row],[Age]]&lt;51,"36-50",IF(Table1[[#This Row],[Age]]&lt;66,"51-65",IF(Table1[[#This Row],[Age]]&gt;65,"&gt;65","none")))))</f>
        <v>&gt;65</v>
      </c>
      <c r="O386" t="str">
        <f>IF(AND(Table1[[#This Row],[Smoker]]="Yes",Table1[[#This Row],[Diabetic]]="Yes"),"Yes","No")</f>
        <v>No</v>
      </c>
      <c r="P386" t="str">
        <f>IF(OR(Table1[[#This Row],[Smoker]]="Yes",Table1[[#This Row],[Diabetic]]="Yes"),"Yes","No")</f>
        <v>No</v>
      </c>
      <c r="Q386" s="1" t="str">
        <f>IF(OR(Table1[[#This Row],[Systolic]]&gt;125,Table1[[#This Row],[Diastolic]]&gt;90),"High","Normal")</f>
        <v>Normal</v>
      </c>
      <c r="R386" s="1">
        <f>Table1[[#This Row],[Discharge_Date]]-Table1[[#This Row],[Admission_Date]]</f>
        <v>3</v>
      </c>
      <c r="S386" s="1"/>
    </row>
    <row r="387" spans="1:19" x14ac:dyDescent="0.3">
      <c r="A387" t="s">
        <v>408</v>
      </c>
      <c r="B387">
        <v>47</v>
      </c>
      <c r="C387" t="s">
        <v>12</v>
      </c>
      <c r="D387">
        <v>36.1</v>
      </c>
      <c r="E387">
        <v>104</v>
      </c>
      <c r="F387">
        <v>92</v>
      </c>
      <c r="G387" t="s">
        <v>14</v>
      </c>
      <c r="H387" t="s">
        <v>13</v>
      </c>
      <c r="I387" t="s">
        <v>25</v>
      </c>
      <c r="J387" s="2">
        <v>2490.13</v>
      </c>
      <c r="K387" s="3">
        <v>45724</v>
      </c>
      <c r="L387" s="3">
        <v>45728</v>
      </c>
      <c r="M387" t="s">
        <v>16</v>
      </c>
      <c r="N387" t="str">
        <f>IF(Table1[[#This Row],[Age]]&lt;25,"&lt; 25",IF(Table1[[#This Row],[Age]]&lt;36,"25-35",IF(Table1[[#This Row],[Age]]&lt;51,"36-50",IF(Table1[[#This Row],[Age]]&lt;66,"51-65",IF(Table1[[#This Row],[Age]]&gt;65,"&gt;65","none")))))</f>
        <v>36-50</v>
      </c>
      <c r="O387" t="str">
        <f>IF(AND(Table1[[#This Row],[Smoker]]="Yes",Table1[[#This Row],[Diabetic]]="Yes"),"Yes","No")</f>
        <v>No</v>
      </c>
      <c r="P387" t="str">
        <f>IF(OR(Table1[[#This Row],[Smoker]]="Yes",Table1[[#This Row],[Diabetic]]="Yes"),"Yes","No")</f>
        <v>Yes</v>
      </c>
      <c r="Q387" s="1" t="str">
        <f>IF(OR(Table1[[#This Row],[Systolic]]&gt;125,Table1[[#This Row],[Diastolic]]&gt;90),"High","Normal")</f>
        <v>High</v>
      </c>
      <c r="R387" s="1">
        <f>Table1[[#This Row],[Discharge_Date]]-Table1[[#This Row],[Admission_Date]]</f>
        <v>4</v>
      </c>
      <c r="S387" s="1"/>
    </row>
    <row r="388" spans="1:19" x14ac:dyDescent="0.3">
      <c r="A388" t="s">
        <v>409</v>
      </c>
      <c r="B388">
        <v>35</v>
      </c>
      <c r="C388" t="s">
        <v>12</v>
      </c>
      <c r="D388">
        <v>22.8</v>
      </c>
      <c r="E388">
        <v>155</v>
      </c>
      <c r="F388">
        <v>114</v>
      </c>
      <c r="G388" t="s">
        <v>13</v>
      </c>
      <c r="H388" t="s">
        <v>14</v>
      </c>
      <c r="I388" t="s">
        <v>32</v>
      </c>
      <c r="J388" s="2">
        <v>3456.65</v>
      </c>
      <c r="K388" s="3">
        <v>45795</v>
      </c>
      <c r="L388" s="3">
        <v>45804</v>
      </c>
      <c r="M388" t="s">
        <v>23</v>
      </c>
      <c r="N388" t="str">
        <f>IF(Table1[[#This Row],[Age]]&lt;25,"&lt; 25",IF(Table1[[#This Row],[Age]]&lt;36,"25-35",IF(Table1[[#This Row],[Age]]&lt;51,"36-50",IF(Table1[[#This Row],[Age]]&lt;66,"51-65",IF(Table1[[#This Row],[Age]]&gt;65,"&gt;65","none")))))</f>
        <v>25-35</v>
      </c>
      <c r="O388" t="str">
        <f>IF(AND(Table1[[#This Row],[Smoker]]="Yes",Table1[[#This Row],[Diabetic]]="Yes"),"Yes","No")</f>
        <v>No</v>
      </c>
      <c r="P388" t="str">
        <f>IF(OR(Table1[[#This Row],[Smoker]]="Yes",Table1[[#This Row],[Diabetic]]="Yes"),"Yes","No")</f>
        <v>Yes</v>
      </c>
      <c r="Q388" s="1" t="str">
        <f>IF(OR(Table1[[#This Row],[Systolic]]&gt;125,Table1[[#This Row],[Diastolic]]&gt;90),"High","Normal")</f>
        <v>High</v>
      </c>
      <c r="R388" s="1">
        <f>Table1[[#This Row],[Discharge_Date]]-Table1[[#This Row],[Admission_Date]]</f>
        <v>9</v>
      </c>
      <c r="S388" s="1"/>
    </row>
    <row r="389" spans="1:19" x14ac:dyDescent="0.3">
      <c r="A389" t="s">
        <v>410</v>
      </c>
      <c r="B389">
        <v>32</v>
      </c>
      <c r="C389" t="s">
        <v>12</v>
      </c>
      <c r="D389">
        <v>36</v>
      </c>
      <c r="E389">
        <v>151</v>
      </c>
      <c r="F389">
        <v>88</v>
      </c>
      <c r="G389" t="s">
        <v>13</v>
      </c>
      <c r="H389" t="s">
        <v>13</v>
      </c>
      <c r="I389" t="s">
        <v>25</v>
      </c>
      <c r="J389" s="2">
        <v>570.84</v>
      </c>
      <c r="K389" s="3">
        <v>45665</v>
      </c>
      <c r="L389" s="3">
        <v>45670</v>
      </c>
      <c r="M389" t="s">
        <v>16</v>
      </c>
      <c r="N389" t="str">
        <f>IF(Table1[[#This Row],[Age]]&lt;25,"&lt; 25",IF(Table1[[#This Row],[Age]]&lt;36,"25-35",IF(Table1[[#This Row],[Age]]&lt;51,"36-50",IF(Table1[[#This Row],[Age]]&lt;66,"51-65",IF(Table1[[#This Row],[Age]]&gt;65,"&gt;65","none")))))</f>
        <v>25-35</v>
      </c>
      <c r="O389" t="str">
        <f>IF(AND(Table1[[#This Row],[Smoker]]="Yes",Table1[[#This Row],[Diabetic]]="Yes"),"Yes","No")</f>
        <v>No</v>
      </c>
      <c r="P389" t="str">
        <f>IF(OR(Table1[[#This Row],[Smoker]]="Yes",Table1[[#This Row],[Diabetic]]="Yes"),"Yes","No")</f>
        <v>No</v>
      </c>
      <c r="Q389" s="1" t="str">
        <f>IF(OR(Table1[[#This Row],[Systolic]]&gt;125,Table1[[#This Row],[Diastolic]]&gt;90),"High","Normal")</f>
        <v>High</v>
      </c>
      <c r="R389" s="1">
        <f>Table1[[#This Row],[Discharge_Date]]-Table1[[#This Row],[Admission_Date]]</f>
        <v>5</v>
      </c>
      <c r="S389" s="1"/>
    </row>
    <row r="390" spans="1:19" x14ac:dyDescent="0.3">
      <c r="A390" t="s">
        <v>411</v>
      </c>
      <c r="B390">
        <v>56</v>
      </c>
      <c r="C390" t="s">
        <v>12</v>
      </c>
      <c r="D390">
        <v>34.6</v>
      </c>
      <c r="E390">
        <v>135</v>
      </c>
      <c r="F390">
        <v>63</v>
      </c>
      <c r="G390" t="s">
        <v>13</v>
      </c>
      <c r="H390" t="s">
        <v>13</v>
      </c>
      <c r="I390" t="s">
        <v>32</v>
      </c>
      <c r="J390" s="2">
        <v>3405.5</v>
      </c>
      <c r="K390" s="3">
        <v>45835</v>
      </c>
      <c r="L390" s="3">
        <v>45849</v>
      </c>
      <c r="M390" t="s">
        <v>16</v>
      </c>
      <c r="N390" t="str">
        <f>IF(Table1[[#This Row],[Age]]&lt;25,"&lt; 25",IF(Table1[[#This Row],[Age]]&lt;36,"25-35",IF(Table1[[#This Row],[Age]]&lt;51,"36-50",IF(Table1[[#This Row],[Age]]&lt;66,"51-65",IF(Table1[[#This Row],[Age]]&gt;65,"&gt;65","none")))))</f>
        <v>51-65</v>
      </c>
      <c r="O390" t="str">
        <f>IF(AND(Table1[[#This Row],[Smoker]]="Yes",Table1[[#This Row],[Diabetic]]="Yes"),"Yes","No")</f>
        <v>No</v>
      </c>
      <c r="P390" t="str">
        <f>IF(OR(Table1[[#This Row],[Smoker]]="Yes",Table1[[#This Row],[Diabetic]]="Yes"),"Yes","No")</f>
        <v>No</v>
      </c>
      <c r="Q390" s="1" t="str">
        <f>IF(OR(Table1[[#This Row],[Systolic]]&gt;125,Table1[[#This Row],[Diastolic]]&gt;90),"High","Normal")</f>
        <v>High</v>
      </c>
      <c r="R390" s="1">
        <f>Table1[[#This Row],[Discharge_Date]]-Table1[[#This Row],[Admission_Date]]</f>
        <v>14</v>
      </c>
      <c r="S390" s="1"/>
    </row>
    <row r="391" spans="1:19" x14ac:dyDescent="0.3">
      <c r="A391" t="s">
        <v>412</v>
      </c>
      <c r="B391">
        <v>19</v>
      </c>
      <c r="C391" t="s">
        <v>18</v>
      </c>
      <c r="D391">
        <v>31.5</v>
      </c>
      <c r="E391">
        <v>120</v>
      </c>
      <c r="F391">
        <v>72</v>
      </c>
      <c r="G391" t="s">
        <v>14</v>
      </c>
      <c r="H391" t="s">
        <v>13</v>
      </c>
      <c r="I391" t="s">
        <v>15</v>
      </c>
      <c r="J391" s="2">
        <v>619.73</v>
      </c>
      <c r="K391" s="3">
        <v>45580</v>
      </c>
      <c r="L391" s="3">
        <v>45584</v>
      </c>
      <c r="M391" t="s">
        <v>19</v>
      </c>
      <c r="N391" t="str">
        <f>IF(Table1[[#This Row],[Age]]&lt;25,"&lt; 25",IF(Table1[[#This Row],[Age]]&lt;36,"25-35",IF(Table1[[#This Row],[Age]]&lt;51,"36-50",IF(Table1[[#This Row],[Age]]&lt;66,"51-65",IF(Table1[[#This Row],[Age]]&gt;65,"&gt;65","none")))))</f>
        <v>&lt; 25</v>
      </c>
      <c r="O391" t="str">
        <f>IF(AND(Table1[[#This Row],[Smoker]]="Yes",Table1[[#This Row],[Diabetic]]="Yes"),"Yes","No")</f>
        <v>No</v>
      </c>
      <c r="P391" t="str">
        <f>IF(OR(Table1[[#This Row],[Smoker]]="Yes",Table1[[#This Row],[Diabetic]]="Yes"),"Yes","No")</f>
        <v>Yes</v>
      </c>
      <c r="Q391" s="1" t="str">
        <f>IF(OR(Table1[[#This Row],[Systolic]]&gt;125,Table1[[#This Row],[Diastolic]]&gt;90),"High","Normal")</f>
        <v>Normal</v>
      </c>
      <c r="R391" s="1">
        <f>Table1[[#This Row],[Discharge_Date]]-Table1[[#This Row],[Admission_Date]]</f>
        <v>4</v>
      </c>
      <c r="S391" s="1"/>
    </row>
    <row r="392" spans="1:19" x14ac:dyDescent="0.3">
      <c r="A392" t="s">
        <v>413</v>
      </c>
      <c r="B392">
        <v>29</v>
      </c>
      <c r="C392" t="s">
        <v>12</v>
      </c>
      <c r="D392">
        <v>28.6</v>
      </c>
      <c r="E392">
        <v>108</v>
      </c>
      <c r="F392">
        <v>85</v>
      </c>
      <c r="G392" t="s">
        <v>13</v>
      </c>
      <c r="H392" t="s">
        <v>13</v>
      </c>
      <c r="I392" t="s">
        <v>21</v>
      </c>
      <c r="J392" s="2">
        <v>1660.5</v>
      </c>
      <c r="K392" s="3">
        <v>45728</v>
      </c>
      <c r="L392" s="3">
        <v>45738</v>
      </c>
      <c r="M392" t="s">
        <v>23</v>
      </c>
      <c r="N392" t="str">
        <f>IF(Table1[[#This Row],[Age]]&lt;25,"&lt; 25",IF(Table1[[#This Row],[Age]]&lt;36,"25-35",IF(Table1[[#This Row],[Age]]&lt;51,"36-50",IF(Table1[[#This Row],[Age]]&lt;66,"51-65",IF(Table1[[#This Row],[Age]]&gt;65,"&gt;65","none")))))</f>
        <v>25-35</v>
      </c>
      <c r="O392" t="str">
        <f>IF(AND(Table1[[#This Row],[Smoker]]="Yes",Table1[[#This Row],[Diabetic]]="Yes"),"Yes","No")</f>
        <v>No</v>
      </c>
      <c r="P392" t="str">
        <f>IF(OR(Table1[[#This Row],[Smoker]]="Yes",Table1[[#This Row],[Diabetic]]="Yes"),"Yes","No")</f>
        <v>No</v>
      </c>
      <c r="Q392" s="1" t="str">
        <f>IF(OR(Table1[[#This Row],[Systolic]]&gt;125,Table1[[#This Row],[Diastolic]]&gt;90),"High","Normal")</f>
        <v>Normal</v>
      </c>
      <c r="R392" s="1">
        <f>Table1[[#This Row],[Discharge_Date]]-Table1[[#This Row],[Admission_Date]]</f>
        <v>10</v>
      </c>
      <c r="S392" s="1"/>
    </row>
    <row r="393" spans="1:19" x14ac:dyDescent="0.3">
      <c r="A393" t="s">
        <v>414</v>
      </c>
      <c r="B393">
        <v>22</v>
      </c>
      <c r="C393" t="s">
        <v>12</v>
      </c>
      <c r="D393">
        <v>21.1</v>
      </c>
      <c r="E393">
        <v>174</v>
      </c>
      <c r="F393">
        <v>92</v>
      </c>
      <c r="G393" t="s">
        <v>14</v>
      </c>
      <c r="H393" t="s">
        <v>13</v>
      </c>
      <c r="I393" t="s">
        <v>34</v>
      </c>
      <c r="J393" s="2">
        <v>518.80999999999995</v>
      </c>
      <c r="K393" s="3">
        <v>45821</v>
      </c>
      <c r="L393" s="3">
        <v>45827</v>
      </c>
      <c r="M393" t="s">
        <v>19</v>
      </c>
      <c r="N393" t="str">
        <f>IF(Table1[[#This Row],[Age]]&lt;25,"&lt; 25",IF(Table1[[#This Row],[Age]]&lt;36,"25-35",IF(Table1[[#This Row],[Age]]&lt;51,"36-50",IF(Table1[[#This Row],[Age]]&lt;66,"51-65",IF(Table1[[#This Row],[Age]]&gt;65,"&gt;65","none")))))</f>
        <v>&lt; 25</v>
      </c>
      <c r="O393" t="str">
        <f>IF(AND(Table1[[#This Row],[Smoker]]="Yes",Table1[[#This Row],[Diabetic]]="Yes"),"Yes","No")</f>
        <v>No</v>
      </c>
      <c r="P393" t="str">
        <f>IF(OR(Table1[[#This Row],[Smoker]]="Yes",Table1[[#This Row],[Diabetic]]="Yes"),"Yes","No")</f>
        <v>Yes</v>
      </c>
      <c r="Q393" s="1" t="str">
        <f>IF(OR(Table1[[#This Row],[Systolic]]&gt;125,Table1[[#This Row],[Diastolic]]&gt;90),"High","Normal")</f>
        <v>High</v>
      </c>
      <c r="R393" s="1">
        <f>Table1[[#This Row],[Discharge_Date]]-Table1[[#This Row],[Admission_Date]]</f>
        <v>6</v>
      </c>
      <c r="S393" s="1"/>
    </row>
    <row r="394" spans="1:19" x14ac:dyDescent="0.3">
      <c r="A394" t="s">
        <v>415</v>
      </c>
      <c r="B394">
        <v>64</v>
      </c>
      <c r="C394" t="s">
        <v>12</v>
      </c>
      <c r="D394">
        <v>22.8</v>
      </c>
      <c r="E394">
        <v>158</v>
      </c>
      <c r="F394">
        <v>119</v>
      </c>
      <c r="G394" t="s">
        <v>13</v>
      </c>
      <c r="H394" t="s">
        <v>13</v>
      </c>
      <c r="I394" t="s">
        <v>25</v>
      </c>
      <c r="J394" s="2">
        <v>1986.26</v>
      </c>
      <c r="K394" s="3">
        <v>45680</v>
      </c>
      <c r="L394" s="3">
        <v>45685</v>
      </c>
      <c r="M394" t="s">
        <v>19</v>
      </c>
      <c r="N394" t="str">
        <f>IF(Table1[[#This Row],[Age]]&lt;25,"&lt; 25",IF(Table1[[#This Row],[Age]]&lt;36,"25-35",IF(Table1[[#This Row],[Age]]&lt;51,"36-50",IF(Table1[[#This Row],[Age]]&lt;66,"51-65",IF(Table1[[#This Row],[Age]]&gt;65,"&gt;65","none")))))</f>
        <v>51-65</v>
      </c>
      <c r="O394" t="str">
        <f>IF(AND(Table1[[#This Row],[Smoker]]="Yes",Table1[[#This Row],[Diabetic]]="Yes"),"Yes","No")</f>
        <v>No</v>
      </c>
      <c r="P394" t="str">
        <f>IF(OR(Table1[[#This Row],[Smoker]]="Yes",Table1[[#This Row],[Diabetic]]="Yes"),"Yes","No")</f>
        <v>No</v>
      </c>
      <c r="Q394" s="1" t="str">
        <f>IF(OR(Table1[[#This Row],[Systolic]]&gt;125,Table1[[#This Row],[Diastolic]]&gt;90),"High","Normal")</f>
        <v>High</v>
      </c>
      <c r="R394" s="1">
        <f>Table1[[#This Row],[Discharge_Date]]-Table1[[#This Row],[Admission_Date]]</f>
        <v>5</v>
      </c>
      <c r="S394" s="1"/>
    </row>
    <row r="395" spans="1:19" x14ac:dyDescent="0.3">
      <c r="A395" t="s">
        <v>416</v>
      </c>
      <c r="B395">
        <v>23</v>
      </c>
      <c r="C395" t="s">
        <v>18</v>
      </c>
      <c r="D395">
        <v>21.2</v>
      </c>
      <c r="E395">
        <v>99</v>
      </c>
      <c r="F395">
        <v>119</v>
      </c>
      <c r="G395" t="s">
        <v>14</v>
      </c>
      <c r="H395" t="s">
        <v>13</v>
      </c>
      <c r="I395" t="s">
        <v>32</v>
      </c>
      <c r="J395" s="2">
        <v>1941.05</v>
      </c>
      <c r="K395" s="3">
        <v>45614</v>
      </c>
      <c r="L395" s="3">
        <v>45617</v>
      </c>
      <c r="M395" t="s">
        <v>16</v>
      </c>
      <c r="N395" t="str">
        <f>IF(Table1[[#This Row],[Age]]&lt;25,"&lt; 25",IF(Table1[[#This Row],[Age]]&lt;36,"25-35",IF(Table1[[#This Row],[Age]]&lt;51,"36-50",IF(Table1[[#This Row],[Age]]&lt;66,"51-65",IF(Table1[[#This Row],[Age]]&gt;65,"&gt;65","none")))))</f>
        <v>&lt; 25</v>
      </c>
      <c r="O395" t="str">
        <f>IF(AND(Table1[[#This Row],[Smoker]]="Yes",Table1[[#This Row],[Diabetic]]="Yes"),"Yes","No")</f>
        <v>No</v>
      </c>
      <c r="P395" t="str">
        <f>IF(OR(Table1[[#This Row],[Smoker]]="Yes",Table1[[#This Row],[Diabetic]]="Yes"),"Yes","No")</f>
        <v>Yes</v>
      </c>
      <c r="Q395" s="1" t="str">
        <f>IF(OR(Table1[[#This Row],[Systolic]]&gt;125,Table1[[#This Row],[Diastolic]]&gt;90),"High","Normal")</f>
        <v>High</v>
      </c>
      <c r="R395" s="1">
        <f>Table1[[#This Row],[Discharge_Date]]-Table1[[#This Row],[Admission_Date]]</f>
        <v>3</v>
      </c>
      <c r="S395" s="1"/>
    </row>
    <row r="396" spans="1:19" x14ac:dyDescent="0.3">
      <c r="A396" t="s">
        <v>417</v>
      </c>
      <c r="B396">
        <v>89</v>
      </c>
      <c r="C396" t="s">
        <v>12</v>
      </c>
      <c r="D396">
        <v>37.700000000000003</v>
      </c>
      <c r="E396">
        <v>105</v>
      </c>
      <c r="F396">
        <v>73</v>
      </c>
      <c r="G396" t="s">
        <v>14</v>
      </c>
      <c r="H396" t="s">
        <v>13</v>
      </c>
      <c r="I396" t="s">
        <v>34</v>
      </c>
      <c r="J396" s="2">
        <v>2097.54</v>
      </c>
      <c r="K396" s="3">
        <v>45736</v>
      </c>
      <c r="L396" s="3">
        <v>45747</v>
      </c>
      <c r="M396" t="s">
        <v>19</v>
      </c>
      <c r="N396" t="str">
        <f>IF(Table1[[#This Row],[Age]]&lt;25,"&lt; 25",IF(Table1[[#This Row],[Age]]&lt;36,"25-35",IF(Table1[[#This Row],[Age]]&lt;51,"36-50",IF(Table1[[#This Row],[Age]]&lt;66,"51-65",IF(Table1[[#This Row],[Age]]&gt;65,"&gt;65","none")))))</f>
        <v>&gt;65</v>
      </c>
      <c r="O396" t="str">
        <f>IF(AND(Table1[[#This Row],[Smoker]]="Yes",Table1[[#This Row],[Diabetic]]="Yes"),"Yes","No")</f>
        <v>No</v>
      </c>
      <c r="P396" t="str">
        <f>IF(OR(Table1[[#This Row],[Smoker]]="Yes",Table1[[#This Row],[Diabetic]]="Yes"),"Yes","No")</f>
        <v>Yes</v>
      </c>
      <c r="Q396" s="1" t="str">
        <f>IF(OR(Table1[[#This Row],[Systolic]]&gt;125,Table1[[#This Row],[Diastolic]]&gt;90),"High","Normal")</f>
        <v>Normal</v>
      </c>
      <c r="R396" s="1">
        <f>Table1[[#This Row],[Discharge_Date]]-Table1[[#This Row],[Admission_Date]]</f>
        <v>11</v>
      </c>
      <c r="S396" s="1"/>
    </row>
    <row r="397" spans="1:19" x14ac:dyDescent="0.3">
      <c r="A397" t="s">
        <v>418</v>
      </c>
      <c r="B397">
        <v>39</v>
      </c>
      <c r="C397" t="s">
        <v>18</v>
      </c>
      <c r="D397">
        <v>22.6</v>
      </c>
      <c r="E397">
        <v>156</v>
      </c>
      <c r="F397">
        <v>60</v>
      </c>
      <c r="G397" t="s">
        <v>13</v>
      </c>
      <c r="H397" t="s">
        <v>14</v>
      </c>
      <c r="I397" t="s">
        <v>34</v>
      </c>
      <c r="J397" s="2">
        <v>2082.94</v>
      </c>
      <c r="K397" s="3">
        <v>45799</v>
      </c>
      <c r="L397" s="3">
        <v>45808</v>
      </c>
      <c r="M397" t="s">
        <v>19</v>
      </c>
      <c r="N397" t="str">
        <f>IF(Table1[[#This Row],[Age]]&lt;25,"&lt; 25",IF(Table1[[#This Row],[Age]]&lt;36,"25-35",IF(Table1[[#This Row],[Age]]&lt;51,"36-50",IF(Table1[[#This Row],[Age]]&lt;66,"51-65",IF(Table1[[#This Row],[Age]]&gt;65,"&gt;65","none")))))</f>
        <v>36-50</v>
      </c>
      <c r="O397" t="str">
        <f>IF(AND(Table1[[#This Row],[Smoker]]="Yes",Table1[[#This Row],[Diabetic]]="Yes"),"Yes","No")</f>
        <v>No</v>
      </c>
      <c r="P397" t="str">
        <f>IF(OR(Table1[[#This Row],[Smoker]]="Yes",Table1[[#This Row],[Diabetic]]="Yes"),"Yes","No")</f>
        <v>Yes</v>
      </c>
      <c r="Q397" s="1" t="str">
        <f>IF(OR(Table1[[#This Row],[Systolic]]&gt;125,Table1[[#This Row],[Diastolic]]&gt;90),"High","Normal")</f>
        <v>High</v>
      </c>
      <c r="R397" s="1">
        <f>Table1[[#This Row],[Discharge_Date]]-Table1[[#This Row],[Admission_Date]]</f>
        <v>9</v>
      </c>
      <c r="S397" s="1"/>
    </row>
    <row r="398" spans="1:19" x14ac:dyDescent="0.3">
      <c r="A398" t="s">
        <v>419</v>
      </c>
      <c r="B398">
        <v>70</v>
      </c>
      <c r="C398" t="s">
        <v>18</v>
      </c>
      <c r="D398">
        <v>24.4</v>
      </c>
      <c r="E398">
        <v>161</v>
      </c>
      <c r="F398">
        <v>104</v>
      </c>
      <c r="G398" t="s">
        <v>13</v>
      </c>
      <c r="H398" t="s">
        <v>13</v>
      </c>
      <c r="I398" t="s">
        <v>34</v>
      </c>
      <c r="J398" s="2">
        <v>4929.8</v>
      </c>
      <c r="K398" s="3">
        <v>45876</v>
      </c>
      <c r="L398" s="3">
        <v>45886</v>
      </c>
      <c r="M398" t="s">
        <v>23</v>
      </c>
      <c r="N398" t="str">
        <f>IF(Table1[[#This Row],[Age]]&lt;25,"&lt; 25",IF(Table1[[#This Row],[Age]]&lt;36,"25-35",IF(Table1[[#This Row],[Age]]&lt;51,"36-50",IF(Table1[[#This Row],[Age]]&lt;66,"51-65",IF(Table1[[#This Row],[Age]]&gt;65,"&gt;65","none")))))</f>
        <v>&gt;65</v>
      </c>
      <c r="O398" t="str">
        <f>IF(AND(Table1[[#This Row],[Smoker]]="Yes",Table1[[#This Row],[Diabetic]]="Yes"),"Yes","No")</f>
        <v>No</v>
      </c>
      <c r="P398" t="str">
        <f>IF(OR(Table1[[#This Row],[Smoker]]="Yes",Table1[[#This Row],[Diabetic]]="Yes"),"Yes","No")</f>
        <v>No</v>
      </c>
      <c r="Q398" s="1" t="str">
        <f>IF(OR(Table1[[#This Row],[Systolic]]&gt;125,Table1[[#This Row],[Diastolic]]&gt;90),"High","Normal")</f>
        <v>High</v>
      </c>
      <c r="R398" s="1">
        <f>Table1[[#This Row],[Discharge_Date]]-Table1[[#This Row],[Admission_Date]]</f>
        <v>10</v>
      </c>
      <c r="S398" s="1"/>
    </row>
    <row r="399" spans="1:19" x14ac:dyDescent="0.3">
      <c r="A399" t="s">
        <v>420</v>
      </c>
      <c r="B399">
        <v>43</v>
      </c>
      <c r="C399" t="s">
        <v>12</v>
      </c>
      <c r="D399">
        <v>29.3</v>
      </c>
      <c r="E399">
        <v>140</v>
      </c>
      <c r="F399">
        <v>84</v>
      </c>
      <c r="G399" t="s">
        <v>13</v>
      </c>
      <c r="H399" t="s">
        <v>13</v>
      </c>
      <c r="I399" t="s">
        <v>32</v>
      </c>
      <c r="J399" s="2">
        <v>2172.54</v>
      </c>
      <c r="K399" s="3">
        <v>45788</v>
      </c>
      <c r="L399" s="3">
        <v>45799</v>
      </c>
      <c r="M399" t="s">
        <v>23</v>
      </c>
      <c r="N399" t="str">
        <f>IF(Table1[[#This Row],[Age]]&lt;25,"&lt; 25",IF(Table1[[#This Row],[Age]]&lt;36,"25-35",IF(Table1[[#This Row],[Age]]&lt;51,"36-50",IF(Table1[[#This Row],[Age]]&lt;66,"51-65",IF(Table1[[#This Row],[Age]]&gt;65,"&gt;65","none")))))</f>
        <v>36-50</v>
      </c>
      <c r="O399" t="str">
        <f>IF(AND(Table1[[#This Row],[Smoker]]="Yes",Table1[[#This Row],[Diabetic]]="Yes"),"Yes","No")</f>
        <v>No</v>
      </c>
      <c r="P399" t="str">
        <f>IF(OR(Table1[[#This Row],[Smoker]]="Yes",Table1[[#This Row],[Diabetic]]="Yes"),"Yes","No")</f>
        <v>No</v>
      </c>
      <c r="Q399" s="1" t="str">
        <f>IF(OR(Table1[[#This Row],[Systolic]]&gt;125,Table1[[#This Row],[Diastolic]]&gt;90),"High","Normal")</f>
        <v>High</v>
      </c>
      <c r="R399" s="1">
        <f>Table1[[#This Row],[Discharge_Date]]-Table1[[#This Row],[Admission_Date]]</f>
        <v>11</v>
      </c>
      <c r="S399" s="1"/>
    </row>
    <row r="400" spans="1:19" x14ac:dyDescent="0.3">
      <c r="A400" t="s">
        <v>421</v>
      </c>
      <c r="B400">
        <v>60</v>
      </c>
      <c r="C400" t="s">
        <v>12</v>
      </c>
      <c r="D400">
        <v>39.299999999999997</v>
      </c>
      <c r="E400">
        <v>114</v>
      </c>
      <c r="F400">
        <v>73</v>
      </c>
      <c r="G400" t="s">
        <v>13</v>
      </c>
      <c r="H400" t="s">
        <v>13</v>
      </c>
      <c r="I400" t="s">
        <v>21</v>
      </c>
      <c r="J400" s="2">
        <v>1397.91</v>
      </c>
      <c r="K400" s="3">
        <v>45625</v>
      </c>
      <c r="L400" s="3">
        <v>45630</v>
      </c>
      <c r="M400" t="s">
        <v>16</v>
      </c>
      <c r="N400" t="str">
        <f>IF(Table1[[#This Row],[Age]]&lt;25,"&lt; 25",IF(Table1[[#This Row],[Age]]&lt;36,"25-35",IF(Table1[[#This Row],[Age]]&lt;51,"36-50",IF(Table1[[#This Row],[Age]]&lt;66,"51-65",IF(Table1[[#This Row],[Age]]&gt;65,"&gt;65","none")))))</f>
        <v>51-65</v>
      </c>
      <c r="O400" t="str">
        <f>IF(AND(Table1[[#This Row],[Smoker]]="Yes",Table1[[#This Row],[Diabetic]]="Yes"),"Yes","No")</f>
        <v>No</v>
      </c>
      <c r="P400" t="str">
        <f>IF(OR(Table1[[#This Row],[Smoker]]="Yes",Table1[[#This Row],[Diabetic]]="Yes"),"Yes","No")</f>
        <v>No</v>
      </c>
      <c r="Q400" s="1" t="str">
        <f>IF(OR(Table1[[#This Row],[Systolic]]&gt;125,Table1[[#This Row],[Diastolic]]&gt;90),"High","Normal")</f>
        <v>Normal</v>
      </c>
      <c r="R400" s="1">
        <f>Table1[[#This Row],[Discharge_Date]]-Table1[[#This Row],[Admission_Date]]</f>
        <v>5</v>
      </c>
      <c r="S400" s="1"/>
    </row>
    <row r="401" spans="1:19" x14ac:dyDescent="0.3">
      <c r="A401" t="s">
        <v>422</v>
      </c>
      <c r="B401">
        <v>20</v>
      </c>
      <c r="C401" t="s">
        <v>18</v>
      </c>
      <c r="D401">
        <v>19.399999999999999</v>
      </c>
      <c r="E401">
        <v>168</v>
      </c>
      <c r="F401">
        <v>89</v>
      </c>
      <c r="G401" t="s">
        <v>13</v>
      </c>
      <c r="H401" t="s">
        <v>13</v>
      </c>
      <c r="I401" t="s">
        <v>15</v>
      </c>
      <c r="J401" s="2">
        <v>2723.76</v>
      </c>
      <c r="K401" s="3">
        <v>45683</v>
      </c>
      <c r="L401" s="3">
        <v>45694</v>
      </c>
      <c r="M401" t="s">
        <v>23</v>
      </c>
      <c r="N401" t="str">
        <f>IF(Table1[[#This Row],[Age]]&lt;25,"&lt; 25",IF(Table1[[#This Row],[Age]]&lt;36,"25-35",IF(Table1[[#This Row],[Age]]&lt;51,"36-50",IF(Table1[[#This Row],[Age]]&lt;66,"51-65",IF(Table1[[#This Row],[Age]]&gt;65,"&gt;65","none")))))</f>
        <v>&lt; 25</v>
      </c>
      <c r="O401" t="str">
        <f>IF(AND(Table1[[#This Row],[Smoker]]="Yes",Table1[[#This Row],[Diabetic]]="Yes"),"Yes","No")</f>
        <v>No</v>
      </c>
      <c r="P401" t="str">
        <f>IF(OR(Table1[[#This Row],[Smoker]]="Yes",Table1[[#This Row],[Diabetic]]="Yes"),"Yes","No")</f>
        <v>No</v>
      </c>
      <c r="Q401" s="1" t="str">
        <f>IF(OR(Table1[[#This Row],[Systolic]]&gt;125,Table1[[#This Row],[Diastolic]]&gt;90),"High","Normal")</f>
        <v>High</v>
      </c>
      <c r="R401" s="1">
        <f>Table1[[#This Row],[Discharge_Date]]-Table1[[#This Row],[Admission_Date]]</f>
        <v>11</v>
      </c>
      <c r="S401" s="1"/>
    </row>
    <row r="402" spans="1:19" x14ac:dyDescent="0.3">
      <c r="A402" t="s">
        <v>423</v>
      </c>
      <c r="B402">
        <v>57</v>
      </c>
      <c r="C402" t="s">
        <v>18</v>
      </c>
      <c r="D402">
        <v>19</v>
      </c>
      <c r="E402">
        <v>173</v>
      </c>
      <c r="F402">
        <v>105</v>
      </c>
      <c r="G402" t="s">
        <v>13</v>
      </c>
      <c r="H402" t="s">
        <v>14</v>
      </c>
      <c r="I402" t="s">
        <v>34</v>
      </c>
      <c r="J402" s="2">
        <v>1257.6400000000001</v>
      </c>
      <c r="K402" s="3">
        <v>45643</v>
      </c>
      <c r="L402" s="3">
        <v>45650</v>
      </c>
      <c r="M402" t="s">
        <v>19</v>
      </c>
      <c r="N402" t="str">
        <f>IF(Table1[[#This Row],[Age]]&lt;25,"&lt; 25",IF(Table1[[#This Row],[Age]]&lt;36,"25-35",IF(Table1[[#This Row],[Age]]&lt;51,"36-50",IF(Table1[[#This Row],[Age]]&lt;66,"51-65",IF(Table1[[#This Row],[Age]]&gt;65,"&gt;65","none")))))</f>
        <v>51-65</v>
      </c>
      <c r="O402" t="str">
        <f>IF(AND(Table1[[#This Row],[Smoker]]="Yes",Table1[[#This Row],[Diabetic]]="Yes"),"Yes","No")</f>
        <v>No</v>
      </c>
      <c r="P402" t="str">
        <f>IF(OR(Table1[[#This Row],[Smoker]]="Yes",Table1[[#This Row],[Diabetic]]="Yes"),"Yes","No")</f>
        <v>Yes</v>
      </c>
      <c r="Q402" s="1" t="str">
        <f>IF(OR(Table1[[#This Row],[Systolic]]&gt;125,Table1[[#This Row],[Diastolic]]&gt;90),"High","Normal")</f>
        <v>High</v>
      </c>
      <c r="R402" s="1">
        <f>Table1[[#This Row],[Discharge_Date]]-Table1[[#This Row],[Admission_Date]]</f>
        <v>7</v>
      </c>
      <c r="S402" s="1"/>
    </row>
    <row r="403" spans="1:19" x14ac:dyDescent="0.3">
      <c r="A403" t="s">
        <v>424</v>
      </c>
      <c r="B403">
        <v>85</v>
      </c>
      <c r="C403" t="s">
        <v>12</v>
      </c>
      <c r="D403">
        <v>19.7</v>
      </c>
      <c r="E403">
        <v>122</v>
      </c>
      <c r="F403">
        <v>74</v>
      </c>
      <c r="G403" t="s">
        <v>14</v>
      </c>
      <c r="H403" t="s">
        <v>14</v>
      </c>
      <c r="I403" t="s">
        <v>25</v>
      </c>
      <c r="J403" s="2">
        <v>214.74</v>
      </c>
      <c r="K403" s="3">
        <v>45630</v>
      </c>
      <c r="L403" s="3">
        <v>45634</v>
      </c>
      <c r="M403" t="s">
        <v>23</v>
      </c>
      <c r="N403" t="str">
        <f>IF(Table1[[#This Row],[Age]]&lt;25,"&lt; 25",IF(Table1[[#This Row],[Age]]&lt;36,"25-35",IF(Table1[[#This Row],[Age]]&lt;51,"36-50",IF(Table1[[#This Row],[Age]]&lt;66,"51-65",IF(Table1[[#This Row],[Age]]&gt;65,"&gt;65","none")))))</f>
        <v>&gt;65</v>
      </c>
      <c r="O403" t="str">
        <f>IF(AND(Table1[[#This Row],[Smoker]]="Yes",Table1[[#This Row],[Diabetic]]="Yes"),"Yes","No")</f>
        <v>Yes</v>
      </c>
      <c r="P403" t="str">
        <f>IF(OR(Table1[[#This Row],[Smoker]]="Yes",Table1[[#This Row],[Diabetic]]="Yes"),"Yes","No")</f>
        <v>Yes</v>
      </c>
      <c r="Q403" s="1" t="str">
        <f>IF(OR(Table1[[#This Row],[Systolic]]&gt;125,Table1[[#This Row],[Diastolic]]&gt;90),"High","Normal")</f>
        <v>Normal</v>
      </c>
      <c r="R403" s="1">
        <f>Table1[[#This Row],[Discharge_Date]]-Table1[[#This Row],[Admission_Date]]</f>
        <v>4</v>
      </c>
      <c r="S403" s="1"/>
    </row>
    <row r="404" spans="1:19" x14ac:dyDescent="0.3">
      <c r="A404" t="s">
        <v>425</v>
      </c>
      <c r="B404">
        <v>78</v>
      </c>
      <c r="C404" t="s">
        <v>12</v>
      </c>
      <c r="D404">
        <v>39.4</v>
      </c>
      <c r="E404">
        <v>119</v>
      </c>
      <c r="F404">
        <v>79</v>
      </c>
      <c r="G404" t="s">
        <v>13</v>
      </c>
      <c r="H404" t="s">
        <v>13</v>
      </c>
      <c r="I404" t="s">
        <v>25</v>
      </c>
      <c r="J404" s="2">
        <v>4983.26</v>
      </c>
      <c r="K404" s="3">
        <v>45869</v>
      </c>
      <c r="L404" s="3">
        <v>45870</v>
      </c>
      <c r="M404" t="s">
        <v>23</v>
      </c>
      <c r="N404" t="str">
        <f>IF(Table1[[#This Row],[Age]]&lt;25,"&lt; 25",IF(Table1[[#This Row],[Age]]&lt;36,"25-35",IF(Table1[[#This Row],[Age]]&lt;51,"36-50",IF(Table1[[#This Row],[Age]]&lt;66,"51-65",IF(Table1[[#This Row],[Age]]&gt;65,"&gt;65","none")))))</f>
        <v>&gt;65</v>
      </c>
      <c r="O404" t="str">
        <f>IF(AND(Table1[[#This Row],[Smoker]]="Yes",Table1[[#This Row],[Diabetic]]="Yes"),"Yes","No")</f>
        <v>No</v>
      </c>
      <c r="P404" t="str">
        <f>IF(OR(Table1[[#This Row],[Smoker]]="Yes",Table1[[#This Row],[Diabetic]]="Yes"),"Yes","No")</f>
        <v>No</v>
      </c>
      <c r="Q404" s="1" t="str">
        <f>IF(OR(Table1[[#This Row],[Systolic]]&gt;125,Table1[[#This Row],[Diastolic]]&gt;90),"High","Normal")</f>
        <v>Normal</v>
      </c>
      <c r="R404" s="1">
        <f>Table1[[#This Row],[Discharge_Date]]-Table1[[#This Row],[Admission_Date]]</f>
        <v>1</v>
      </c>
      <c r="S404" s="1"/>
    </row>
    <row r="405" spans="1:19" x14ac:dyDescent="0.3">
      <c r="A405" t="s">
        <v>426</v>
      </c>
      <c r="B405">
        <v>45</v>
      </c>
      <c r="C405" t="s">
        <v>12</v>
      </c>
      <c r="D405">
        <v>24.6</v>
      </c>
      <c r="E405">
        <v>132</v>
      </c>
      <c r="F405">
        <v>95</v>
      </c>
      <c r="G405" t="s">
        <v>13</v>
      </c>
      <c r="H405" t="s">
        <v>13</v>
      </c>
      <c r="I405" t="s">
        <v>32</v>
      </c>
      <c r="J405" s="2">
        <v>3632.84</v>
      </c>
      <c r="K405" s="3">
        <v>45596</v>
      </c>
      <c r="L405" s="3">
        <v>45603</v>
      </c>
      <c r="M405" t="s">
        <v>19</v>
      </c>
      <c r="N405" t="str">
        <f>IF(Table1[[#This Row],[Age]]&lt;25,"&lt; 25",IF(Table1[[#This Row],[Age]]&lt;36,"25-35",IF(Table1[[#This Row],[Age]]&lt;51,"36-50",IF(Table1[[#This Row],[Age]]&lt;66,"51-65",IF(Table1[[#This Row],[Age]]&gt;65,"&gt;65","none")))))</f>
        <v>36-50</v>
      </c>
      <c r="O405" t="str">
        <f>IF(AND(Table1[[#This Row],[Smoker]]="Yes",Table1[[#This Row],[Diabetic]]="Yes"),"Yes","No")</f>
        <v>No</v>
      </c>
      <c r="P405" t="str">
        <f>IF(OR(Table1[[#This Row],[Smoker]]="Yes",Table1[[#This Row],[Diabetic]]="Yes"),"Yes","No")</f>
        <v>No</v>
      </c>
      <c r="Q405" s="1" t="str">
        <f>IF(OR(Table1[[#This Row],[Systolic]]&gt;125,Table1[[#This Row],[Diastolic]]&gt;90),"High","Normal")</f>
        <v>High</v>
      </c>
      <c r="R405" s="1">
        <f>Table1[[#This Row],[Discharge_Date]]-Table1[[#This Row],[Admission_Date]]</f>
        <v>7</v>
      </c>
      <c r="S405" s="1"/>
    </row>
    <row r="406" spans="1:19" x14ac:dyDescent="0.3">
      <c r="A406" t="s">
        <v>427</v>
      </c>
      <c r="B406">
        <v>75</v>
      </c>
      <c r="C406" t="s">
        <v>18</v>
      </c>
      <c r="D406">
        <v>28.6</v>
      </c>
      <c r="E406">
        <v>170</v>
      </c>
      <c r="F406">
        <v>107</v>
      </c>
      <c r="G406" t="s">
        <v>14</v>
      </c>
      <c r="H406" t="s">
        <v>13</v>
      </c>
      <c r="I406" t="s">
        <v>21</v>
      </c>
      <c r="J406" s="2">
        <v>1246.6099999999999</v>
      </c>
      <c r="K406" s="3">
        <v>45676</v>
      </c>
      <c r="L406" s="3">
        <v>45688</v>
      </c>
      <c r="M406" t="s">
        <v>23</v>
      </c>
      <c r="N406" t="str">
        <f>IF(Table1[[#This Row],[Age]]&lt;25,"&lt; 25",IF(Table1[[#This Row],[Age]]&lt;36,"25-35",IF(Table1[[#This Row],[Age]]&lt;51,"36-50",IF(Table1[[#This Row],[Age]]&lt;66,"51-65",IF(Table1[[#This Row],[Age]]&gt;65,"&gt;65","none")))))</f>
        <v>&gt;65</v>
      </c>
      <c r="O406" t="str">
        <f>IF(AND(Table1[[#This Row],[Smoker]]="Yes",Table1[[#This Row],[Diabetic]]="Yes"),"Yes","No")</f>
        <v>No</v>
      </c>
      <c r="P406" t="str">
        <f>IF(OR(Table1[[#This Row],[Smoker]]="Yes",Table1[[#This Row],[Diabetic]]="Yes"),"Yes","No")</f>
        <v>Yes</v>
      </c>
      <c r="Q406" s="1" t="str">
        <f>IF(OR(Table1[[#This Row],[Systolic]]&gt;125,Table1[[#This Row],[Diastolic]]&gt;90),"High","Normal")</f>
        <v>High</v>
      </c>
      <c r="R406" s="1">
        <f>Table1[[#This Row],[Discharge_Date]]-Table1[[#This Row],[Admission_Date]]</f>
        <v>12</v>
      </c>
      <c r="S406" s="1"/>
    </row>
    <row r="407" spans="1:19" x14ac:dyDescent="0.3">
      <c r="A407" t="s">
        <v>428</v>
      </c>
      <c r="B407">
        <v>79</v>
      </c>
      <c r="C407" t="s">
        <v>18</v>
      </c>
      <c r="D407">
        <v>35.4</v>
      </c>
      <c r="E407">
        <v>110</v>
      </c>
      <c r="F407">
        <v>114</v>
      </c>
      <c r="G407" t="s">
        <v>13</v>
      </c>
      <c r="H407" t="s">
        <v>13</v>
      </c>
      <c r="I407" t="s">
        <v>32</v>
      </c>
      <c r="J407" s="2">
        <v>1518.37</v>
      </c>
      <c r="K407" s="3">
        <v>45708</v>
      </c>
      <c r="L407" s="3">
        <v>45718</v>
      </c>
      <c r="M407" t="s">
        <v>16</v>
      </c>
      <c r="N407" t="str">
        <f>IF(Table1[[#This Row],[Age]]&lt;25,"&lt; 25",IF(Table1[[#This Row],[Age]]&lt;36,"25-35",IF(Table1[[#This Row],[Age]]&lt;51,"36-50",IF(Table1[[#This Row],[Age]]&lt;66,"51-65",IF(Table1[[#This Row],[Age]]&gt;65,"&gt;65","none")))))</f>
        <v>&gt;65</v>
      </c>
      <c r="O407" t="str">
        <f>IF(AND(Table1[[#This Row],[Smoker]]="Yes",Table1[[#This Row],[Diabetic]]="Yes"),"Yes","No")</f>
        <v>No</v>
      </c>
      <c r="P407" t="str">
        <f>IF(OR(Table1[[#This Row],[Smoker]]="Yes",Table1[[#This Row],[Diabetic]]="Yes"),"Yes","No")</f>
        <v>No</v>
      </c>
      <c r="Q407" s="1" t="str">
        <f>IF(OR(Table1[[#This Row],[Systolic]]&gt;125,Table1[[#This Row],[Diastolic]]&gt;90),"High","Normal")</f>
        <v>High</v>
      </c>
      <c r="R407" s="1">
        <f>Table1[[#This Row],[Discharge_Date]]-Table1[[#This Row],[Admission_Date]]</f>
        <v>10</v>
      </c>
      <c r="S407" s="1"/>
    </row>
    <row r="408" spans="1:19" x14ac:dyDescent="0.3">
      <c r="A408" t="s">
        <v>429</v>
      </c>
      <c r="B408">
        <v>27</v>
      </c>
      <c r="C408" t="s">
        <v>18</v>
      </c>
      <c r="D408">
        <v>38.5</v>
      </c>
      <c r="E408">
        <v>151</v>
      </c>
      <c r="F408">
        <v>76</v>
      </c>
      <c r="G408" t="s">
        <v>14</v>
      </c>
      <c r="H408" t="s">
        <v>13</v>
      </c>
      <c r="I408" t="s">
        <v>34</v>
      </c>
      <c r="J408" s="2">
        <v>2772.08</v>
      </c>
      <c r="K408" s="3">
        <v>45609</v>
      </c>
      <c r="L408" s="3">
        <v>45611</v>
      </c>
      <c r="M408" t="s">
        <v>16</v>
      </c>
      <c r="N408" t="str">
        <f>IF(Table1[[#This Row],[Age]]&lt;25,"&lt; 25",IF(Table1[[#This Row],[Age]]&lt;36,"25-35",IF(Table1[[#This Row],[Age]]&lt;51,"36-50",IF(Table1[[#This Row],[Age]]&lt;66,"51-65",IF(Table1[[#This Row],[Age]]&gt;65,"&gt;65","none")))))</f>
        <v>25-35</v>
      </c>
      <c r="O408" t="str">
        <f>IF(AND(Table1[[#This Row],[Smoker]]="Yes",Table1[[#This Row],[Diabetic]]="Yes"),"Yes","No")</f>
        <v>No</v>
      </c>
      <c r="P408" t="str">
        <f>IF(OR(Table1[[#This Row],[Smoker]]="Yes",Table1[[#This Row],[Diabetic]]="Yes"),"Yes","No")</f>
        <v>Yes</v>
      </c>
      <c r="Q408" s="1" t="str">
        <f>IF(OR(Table1[[#This Row],[Systolic]]&gt;125,Table1[[#This Row],[Diastolic]]&gt;90),"High","Normal")</f>
        <v>High</v>
      </c>
      <c r="R408" s="1">
        <f>Table1[[#This Row],[Discharge_Date]]-Table1[[#This Row],[Admission_Date]]</f>
        <v>2</v>
      </c>
      <c r="S408" s="1"/>
    </row>
    <row r="409" spans="1:19" x14ac:dyDescent="0.3">
      <c r="A409" t="s">
        <v>430</v>
      </c>
      <c r="B409">
        <v>90</v>
      </c>
      <c r="C409" t="s">
        <v>18</v>
      </c>
      <c r="D409">
        <v>23.6</v>
      </c>
      <c r="E409">
        <v>129</v>
      </c>
      <c r="F409">
        <v>100</v>
      </c>
      <c r="G409" t="s">
        <v>14</v>
      </c>
      <c r="H409" t="s">
        <v>13</v>
      </c>
      <c r="I409" t="s">
        <v>34</v>
      </c>
      <c r="J409" s="2">
        <v>1450.75</v>
      </c>
      <c r="K409" s="3">
        <v>45918</v>
      </c>
      <c r="L409" s="3">
        <v>45925</v>
      </c>
      <c r="M409" t="s">
        <v>23</v>
      </c>
      <c r="N409" t="str">
        <f>IF(Table1[[#This Row],[Age]]&lt;25,"&lt; 25",IF(Table1[[#This Row],[Age]]&lt;36,"25-35",IF(Table1[[#This Row],[Age]]&lt;51,"36-50",IF(Table1[[#This Row],[Age]]&lt;66,"51-65",IF(Table1[[#This Row],[Age]]&gt;65,"&gt;65","none")))))</f>
        <v>&gt;65</v>
      </c>
      <c r="O409" t="str">
        <f>IF(AND(Table1[[#This Row],[Smoker]]="Yes",Table1[[#This Row],[Diabetic]]="Yes"),"Yes","No")</f>
        <v>No</v>
      </c>
      <c r="P409" t="str">
        <f>IF(OR(Table1[[#This Row],[Smoker]]="Yes",Table1[[#This Row],[Diabetic]]="Yes"),"Yes","No")</f>
        <v>Yes</v>
      </c>
      <c r="Q409" s="1" t="str">
        <f>IF(OR(Table1[[#This Row],[Systolic]]&gt;125,Table1[[#This Row],[Diastolic]]&gt;90),"High","Normal")</f>
        <v>High</v>
      </c>
      <c r="R409" s="1">
        <f>Table1[[#This Row],[Discharge_Date]]-Table1[[#This Row],[Admission_Date]]</f>
        <v>7</v>
      </c>
      <c r="S409" s="1"/>
    </row>
    <row r="410" spans="1:19" x14ac:dyDescent="0.3">
      <c r="A410" t="s">
        <v>431</v>
      </c>
      <c r="B410">
        <v>87</v>
      </c>
      <c r="C410" t="s">
        <v>12</v>
      </c>
      <c r="D410">
        <v>37.200000000000003</v>
      </c>
      <c r="E410">
        <v>158</v>
      </c>
      <c r="F410">
        <v>93</v>
      </c>
      <c r="G410" t="s">
        <v>14</v>
      </c>
      <c r="H410" t="s">
        <v>14</v>
      </c>
      <c r="I410" t="s">
        <v>32</v>
      </c>
      <c r="J410" s="2">
        <v>1856.38</v>
      </c>
      <c r="K410" s="3">
        <v>45749</v>
      </c>
      <c r="L410" s="3">
        <v>45762</v>
      </c>
      <c r="M410" t="s">
        <v>16</v>
      </c>
      <c r="N410" t="str">
        <f>IF(Table1[[#This Row],[Age]]&lt;25,"&lt; 25",IF(Table1[[#This Row],[Age]]&lt;36,"25-35",IF(Table1[[#This Row],[Age]]&lt;51,"36-50",IF(Table1[[#This Row],[Age]]&lt;66,"51-65",IF(Table1[[#This Row],[Age]]&gt;65,"&gt;65","none")))))</f>
        <v>&gt;65</v>
      </c>
      <c r="O410" t="str">
        <f>IF(AND(Table1[[#This Row],[Smoker]]="Yes",Table1[[#This Row],[Diabetic]]="Yes"),"Yes","No")</f>
        <v>Yes</v>
      </c>
      <c r="P410" t="str">
        <f>IF(OR(Table1[[#This Row],[Smoker]]="Yes",Table1[[#This Row],[Diabetic]]="Yes"),"Yes","No")</f>
        <v>Yes</v>
      </c>
      <c r="Q410" s="1" t="str">
        <f>IF(OR(Table1[[#This Row],[Systolic]]&gt;125,Table1[[#This Row],[Diastolic]]&gt;90),"High","Normal")</f>
        <v>High</v>
      </c>
      <c r="R410" s="1">
        <f>Table1[[#This Row],[Discharge_Date]]-Table1[[#This Row],[Admission_Date]]</f>
        <v>13</v>
      </c>
      <c r="S410" s="1"/>
    </row>
    <row r="411" spans="1:19" x14ac:dyDescent="0.3">
      <c r="A411" t="s">
        <v>432</v>
      </c>
      <c r="B411">
        <v>55</v>
      </c>
      <c r="C411" t="s">
        <v>12</v>
      </c>
      <c r="D411">
        <v>39.4</v>
      </c>
      <c r="E411">
        <v>161</v>
      </c>
      <c r="F411">
        <v>100</v>
      </c>
      <c r="G411" t="s">
        <v>14</v>
      </c>
      <c r="H411" t="s">
        <v>13</v>
      </c>
      <c r="I411" t="s">
        <v>34</v>
      </c>
      <c r="J411" s="2">
        <v>1990.57</v>
      </c>
      <c r="K411" s="3">
        <v>45732</v>
      </c>
      <c r="L411" s="3">
        <v>45733</v>
      </c>
      <c r="M411" t="s">
        <v>16</v>
      </c>
      <c r="N411" t="str">
        <f>IF(Table1[[#This Row],[Age]]&lt;25,"&lt; 25",IF(Table1[[#This Row],[Age]]&lt;36,"25-35",IF(Table1[[#This Row],[Age]]&lt;51,"36-50",IF(Table1[[#This Row],[Age]]&lt;66,"51-65",IF(Table1[[#This Row],[Age]]&gt;65,"&gt;65","none")))))</f>
        <v>51-65</v>
      </c>
      <c r="O411" t="str">
        <f>IF(AND(Table1[[#This Row],[Smoker]]="Yes",Table1[[#This Row],[Diabetic]]="Yes"),"Yes","No")</f>
        <v>No</v>
      </c>
      <c r="P411" t="str">
        <f>IF(OR(Table1[[#This Row],[Smoker]]="Yes",Table1[[#This Row],[Diabetic]]="Yes"),"Yes","No")</f>
        <v>Yes</v>
      </c>
      <c r="Q411" s="1" t="str">
        <f>IF(OR(Table1[[#This Row],[Systolic]]&gt;125,Table1[[#This Row],[Diastolic]]&gt;90),"High","Normal")</f>
        <v>High</v>
      </c>
      <c r="R411" s="1">
        <f>Table1[[#This Row],[Discharge_Date]]-Table1[[#This Row],[Admission_Date]]</f>
        <v>1</v>
      </c>
      <c r="S411" s="1"/>
    </row>
    <row r="412" spans="1:19" x14ac:dyDescent="0.3">
      <c r="A412" t="s">
        <v>433</v>
      </c>
      <c r="B412">
        <v>62</v>
      </c>
      <c r="C412" t="s">
        <v>12</v>
      </c>
      <c r="D412">
        <v>30.6</v>
      </c>
      <c r="E412">
        <v>154</v>
      </c>
      <c r="F412">
        <v>80</v>
      </c>
      <c r="G412" t="s">
        <v>13</v>
      </c>
      <c r="H412" t="s">
        <v>14</v>
      </c>
      <c r="I412" t="s">
        <v>21</v>
      </c>
      <c r="J412" s="2">
        <v>3584.41</v>
      </c>
      <c r="K412" s="3">
        <v>45933</v>
      </c>
      <c r="L412" s="3">
        <v>45940</v>
      </c>
      <c r="M412" t="s">
        <v>19</v>
      </c>
      <c r="N412" t="str">
        <f>IF(Table1[[#This Row],[Age]]&lt;25,"&lt; 25",IF(Table1[[#This Row],[Age]]&lt;36,"25-35",IF(Table1[[#This Row],[Age]]&lt;51,"36-50",IF(Table1[[#This Row],[Age]]&lt;66,"51-65",IF(Table1[[#This Row],[Age]]&gt;65,"&gt;65","none")))))</f>
        <v>51-65</v>
      </c>
      <c r="O412" t="str">
        <f>IF(AND(Table1[[#This Row],[Smoker]]="Yes",Table1[[#This Row],[Diabetic]]="Yes"),"Yes","No")</f>
        <v>No</v>
      </c>
      <c r="P412" t="str">
        <f>IF(OR(Table1[[#This Row],[Smoker]]="Yes",Table1[[#This Row],[Diabetic]]="Yes"),"Yes","No")</f>
        <v>Yes</v>
      </c>
      <c r="Q412" s="1" t="str">
        <f>IF(OR(Table1[[#This Row],[Systolic]]&gt;125,Table1[[#This Row],[Diastolic]]&gt;90),"High","Normal")</f>
        <v>High</v>
      </c>
      <c r="R412" s="1">
        <f>Table1[[#This Row],[Discharge_Date]]-Table1[[#This Row],[Admission_Date]]</f>
        <v>7</v>
      </c>
      <c r="S412" s="1"/>
    </row>
    <row r="413" spans="1:19" x14ac:dyDescent="0.3">
      <c r="A413" t="s">
        <v>434</v>
      </c>
      <c r="B413">
        <v>20</v>
      </c>
      <c r="C413" t="s">
        <v>18</v>
      </c>
      <c r="D413">
        <v>18.899999999999999</v>
      </c>
      <c r="E413">
        <v>98</v>
      </c>
      <c r="F413">
        <v>103</v>
      </c>
      <c r="G413" t="s">
        <v>13</v>
      </c>
      <c r="H413" t="s">
        <v>14</v>
      </c>
      <c r="I413" t="s">
        <v>34</v>
      </c>
      <c r="J413" s="2">
        <v>3948.39</v>
      </c>
      <c r="K413" s="3">
        <v>45640</v>
      </c>
      <c r="L413" s="3">
        <v>45651</v>
      </c>
      <c r="M413" t="s">
        <v>16</v>
      </c>
      <c r="N413" t="str">
        <f>IF(Table1[[#This Row],[Age]]&lt;25,"&lt; 25",IF(Table1[[#This Row],[Age]]&lt;36,"25-35",IF(Table1[[#This Row],[Age]]&lt;51,"36-50",IF(Table1[[#This Row],[Age]]&lt;66,"51-65",IF(Table1[[#This Row],[Age]]&gt;65,"&gt;65","none")))))</f>
        <v>&lt; 25</v>
      </c>
      <c r="O413" t="str">
        <f>IF(AND(Table1[[#This Row],[Smoker]]="Yes",Table1[[#This Row],[Diabetic]]="Yes"),"Yes","No")</f>
        <v>No</v>
      </c>
      <c r="P413" t="str">
        <f>IF(OR(Table1[[#This Row],[Smoker]]="Yes",Table1[[#This Row],[Diabetic]]="Yes"),"Yes","No")</f>
        <v>Yes</v>
      </c>
      <c r="Q413" s="1" t="str">
        <f>IF(OR(Table1[[#This Row],[Systolic]]&gt;125,Table1[[#This Row],[Diastolic]]&gt;90),"High","Normal")</f>
        <v>High</v>
      </c>
      <c r="R413" s="1">
        <f>Table1[[#This Row],[Discharge_Date]]-Table1[[#This Row],[Admission_Date]]</f>
        <v>11</v>
      </c>
      <c r="S413" s="1"/>
    </row>
    <row r="414" spans="1:19" x14ac:dyDescent="0.3">
      <c r="A414" t="s">
        <v>435</v>
      </c>
      <c r="B414">
        <v>34</v>
      </c>
      <c r="C414" t="s">
        <v>12</v>
      </c>
      <c r="D414">
        <v>34</v>
      </c>
      <c r="E414">
        <v>125</v>
      </c>
      <c r="F414">
        <v>102</v>
      </c>
      <c r="G414" t="s">
        <v>13</v>
      </c>
      <c r="H414" t="s">
        <v>14</v>
      </c>
      <c r="I414" t="s">
        <v>15</v>
      </c>
      <c r="J414" s="2">
        <v>4376.08</v>
      </c>
      <c r="K414" s="3">
        <v>45871</v>
      </c>
      <c r="L414" s="3">
        <v>45879</v>
      </c>
      <c r="M414" t="s">
        <v>16</v>
      </c>
      <c r="N414" t="str">
        <f>IF(Table1[[#This Row],[Age]]&lt;25,"&lt; 25",IF(Table1[[#This Row],[Age]]&lt;36,"25-35",IF(Table1[[#This Row],[Age]]&lt;51,"36-50",IF(Table1[[#This Row],[Age]]&lt;66,"51-65",IF(Table1[[#This Row],[Age]]&gt;65,"&gt;65","none")))))</f>
        <v>25-35</v>
      </c>
      <c r="O414" t="str">
        <f>IF(AND(Table1[[#This Row],[Smoker]]="Yes",Table1[[#This Row],[Diabetic]]="Yes"),"Yes","No")</f>
        <v>No</v>
      </c>
      <c r="P414" t="str">
        <f>IF(OR(Table1[[#This Row],[Smoker]]="Yes",Table1[[#This Row],[Diabetic]]="Yes"),"Yes","No")</f>
        <v>Yes</v>
      </c>
      <c r="Q414" s="1" t="str">
        <f>IF(OR(Table1[[#This Row],[Systolic]]&gt;125,Table1[[#This Row],[Diastolic]]&gt;90),"High","Normal")</f>
        <v>High</v>
      </c>
      <c r="R414" s="1">
        <f>Table1[[#This Row],[Discharge_Date]]-Table1[[#This Row],[Admission_Date]]</f>
        <v>8</v>
      </c>
      <c r="S414" s="1"/>
    </row>
    <row r="415" spans="1:19" x14ac:dyDescent="0.3">
      <c r="A415" t="s">
        <v>436</v>
      </c>
      <c r="B415">
        <v>63</v>
      </c>
      <c r="C415" t="s">
        <v>12</v>
      </c>
      <c r="D415">
        <v>19.2</v>
      </c>
      <c r="E415">
        <v>98</v>
      </c>
      <c r="F415">
        <v>115</v>
      </c>
      <c r="G415" t="s">
        <v>14</v>
      </c>
      <c r="H415" t="s">
        <v>14</v>
      </c>
      <c r="I415" t="s">
        <v>25</v>
      </c>
      <c r="J415" s="2">
        <v>1675.85</v>
      </c>
      <c r="K415" s="3">
        <v>45773</v>
      </c>
      <c r="L415" s="3">
        <v>45782</v>
      </c>
      <c r="M415" t="s">
        <v>23</v>
      </c>
      <c r="N415" t="str">
        <f>IF(Table1[[#This Row],[Age]]&lt;25,"&lt; 25",IF(Table1[[#This Row],[Age]]&lt;36,"25-35",IF(Table1[[#This Row],[Age]]&lt;51,"36-50",IF(Table1[[#This Row],[Age]]&lt;66,"51-65",IF(Table1[[#This Row],[Age]]&gt;65,"&gt;65","none")))))</f>
        <v>51-65</v>
      </c>
      <c r="O415" t="str">
        <f>IF(AND(Table1[[#This Row],[Smoker]]="Yes",Table1[[#This Row],[Diabetic]]="Yes"),"Yes","No")</f>
        <v>Yes</v>
      </c>
      <c r="P415" t="str">
        <f>IF(OR(Table1[[#This Row],[Smoker]]="Yes",Table1[[#This Row],[Diabetic]]="Yes"),"Yes","No")</f>
        <v>Yes</v>
      </c>
      <c r="Q415" s="1" t="str">
        <f>IF(OR(Table1[[#This Row],[Systolic]]&gt;125,Table1[[#This Row],[Diastolic]]&gt;90),"High","Normal")</f>
        <v>High</v>
      </c>
      <c r="R415" s="1">
        <f>Table1[[#This Row],[Discharge_Date]]-Table1[[#This Row],[Admission_Date]]</f>
        <v>9</v>
      </c>
      <c r="S415" s="1"/>
    </row>
    <row r="416" spans="1:19" x14ac:dyDescent="0.3">
      <c r="A416" t="s">
        <v>437</v>
      </c>
      <c r="B416">
        <v>38</v>
      </c>
      <c r="C416" t="s">
        <v>12</v>
      </c>
      <c r="D416">
        <v>33.799999999999997</v>
      </c>
      <c r="E416">
        <v>134</v>
      </c>
      <c r="F416">
        <v>92</v>
      </c>
      <c r="G416" t="s">
        <v>14</v>
      </c>
      <c r="H416" t="s">
        <v>13</v>
      </c>
      <c r="I416" t="s">
        <v>21</v>
      </c>
      <c r="J416" s="2">
        <v>113.24</v>
      </c>
      <c r="K416" s="3">
        <v>45587</v>
      </c>
      <c r="L416" s="3">
        <v>45592</v>
      </c>
      <c r="M416" t="s">
        <v>19</v>
      </c>
      <c r="N416" t="str">
        <f>IF(Table1[[#This Row],[Age]]&lt;25,"&lt; 25",IF(Table1[[#This Row],[Age]]&lt;36,"25-35",IF(Table1[[#This Row],[Age]]&lt;51,"36-50",IF(Table1[[#This Row],[Age]]&lt;66,"51-65",IF(Table1[[#This Row],[Age]]&gt;65,"&gt;65","none")))))</f>
        <v>36-50</v>
      </c>
      <c r="O416" t="str">
        <f>IF(AND(Table1[[#This Row],[Smoker]]="Yes",Table1[[#This Row],[Diabetic]]="Yes"),"Yes","No")</f>
        <v>No</v>
      </c>
      <c r="P416" t="str">
        <f>IF(OR(Table1[[#This Row],[Smoker]]="Yes",Table1[[#This Row],[Diabetic]]="Yes"),"Yes","No")</f>
        <v>Yes</v>
      </c>
      <c r="Q416" s="1" t="str">
        <f>IF(OR(Table1[[#This Row],[Systolic]]&gt;125,Table1[[#This Row],[Diastolic]]&gt;90),"High","Normal")</f>
        <v>High</v>
      </c>
      <c r="R416" s="1">
        <f>Table1[[#This Row],[Discharge_Date]]-Table1[[#This Row],[Admission_Date]]</f>
        <v>5</v>
      </c>
      <c r="S416" s="1"/>
    </row>
    <row r="417" spans="1:19" x14ac:dyDescent="0.3">
      <c r="A417" t="s">
        <v>438</v>
      </c>
      <c r="B417">
        <v>36</v>
      </c>
      <c r="C417" t="s">
        <v>12</v>
      </c>
      <c r="D417">
        <v>30.9</v>
      </c>
      <c r="E417">
        <v>153</v>
      </c>
      <c r="F417">
        <v>86</v>
      </c>
      <c r="G417" t="s">
        <v>13</v>
      </c>
      <c r="H417" t="s">
        <v>14</v>
      </c>
      <c r="I417" t="s">
        <v>32</v>
      </c>
      <c r="J417" s="2">
        <v>2997.14</v>
      </c>
      <c r="K417" s="3">
        <v>45689</v>
      </c>
      <c r="L417" s="3">
        <v>45700</v>
      </c>
      <c r="M417" t="s">
        <v>16</v>
      </c>
      <c r="N417" t="str">
        <f>IF(Table1[[#This Row],[Age]]&lt;25,"&lt; 25",IF(Table1[[#This Row],[Age]]&lt;36,"25-35",IF(Table1[[#This Row],[Age]]&lt;51,"36-50",IF(Table1[[#This Row],[Age]]&lt;66,"51-65",IF(Table1[[#This Row],[Age]]&gt;65,"&gt;65","none")))))</f>
        <v>36-50</v>
      </c>
      <c r="O417" t="str">
        <f>IF(AND(Table1[[#This Row],[Smoker]]="Yes",Table1[[#This Row],[Diabetic]]="Yes"),"Yes","No")</f>
        <v>No</v>
      </c>
      <c r="P417" t="str">
        <f>IF(OR(Table1[[#This Row],[Smoker]]="Yes",Table1[[#This Row],[Diabetic]]="Yes"),"Yes","No")</f>
        <v>Yes</v>
      </c>
      <c r="Q417" s="1" t="str">
        <f>IF(OR(Table1[[#This Row],[Systolic]]&gt;125,Table1[[#This Row],[Diastolic]]&gt;90),"High","Normal")</f>
        <v>High</v>
      </c>
      <c r="R417" s="1">
        <f>Table1[[#This Row],[Discharge_Date]]-Table1[[#This Row],[Admission_Date]]</f>
        <v>11</v>
      </c>
      <c r="S417" s="1"/>
    </row>
    <row r="418" spans="1:19" x14ac:dyDescent="0.3">
      <c r="A418" t="s">
        <v>439</v>
      </c>
      <c r="B418">
        <v>60</v>
      </c>
      <c r="C418" t="s">
        <v>18</v>
      </c>
      <c r="D418">
        <v>38.299999999999997</v>
      </c>
      <c r="E418">
        <v>106</v>
      </c>
      <c r="F418">
        <v>107</v>
      </c>
      <c r="G418" t="s">
        <v>14</v>
      </c>
      <c r="H418" t="s">
        <v>14</v>
      </c>
      <c r="I418" t="s">
        <v>15</v>
      </c>
      <c r="J418" s="2">
        <v>1788.73</v>
      </c>
      <c r="K418" s="3">
        <v>45594</v>
      </c>
      <c r="L418" s="3">
        <v>45605</v>
      </c>
      <c r="M418" t="s">
        <v>23</v>
      </c>
      <c r="N418" t="str">
        <f>IF(Table1[[#This Row],[Age]]&lt;25,"&lt; 25",IF(Table1[[#This Row],[Age]]&lt;36,"25-35",IF(Table1[[#This Row],[Age]]&lt;51,"36-50",IF(Table1[[#This Row],[Age]]&lt;66,"51-65",IF(Table1[[#This Row],[Age]]&gt;65,"&gt;65","none")))))</f>
        <v>51-65</v>
      </c>
      <c r="O418" t="str">
        <f>IF(AND(Table1[[#This Row],[Smoker]]="Yes",Table1[[#This Row],[Diabetic]]="Yes"),"Yes","No")</f>
        <v>Yes</v>
      </c>
      <c r="P418" t="str">
        <f>IF(OR(Table1[[#This Row],[Smoker]]="Yes",Table1[[#This Row],[Diabetic]]="Yes"),"Yes","No")</f>
        <v>Yes</v>
      </c>
      <c r="Q418" s="1" t="str">
        <f>IF(OR(Table1[[#This Row],[Systolic]]&gt;125,Table1[[#This Row],[Diastolic]]&gt;90),"High","Normal")</f>
        <v>High</v>
      </c>
      <c r="R418" s="1">
        <f>Table1[[#This Row],[Discharge_Date]]-Table1[[#This Row],[Admission_Date]]</f>
        <v>11</v>
      </c>
      <c r="S418" s="1"/>
    </row>
    <row r="419" spans="1:19" x14ac:dyDescent="0.3">
      <c r="A419" t="s">
        <v>440</v>
      </c>
      <c r="B419">
        <v>76</v>
      </c>
      <c r="C419" t="s">
        <v>12</v>
      </c>
      <c r="D419">
        <v>22.6</v>
      </c>
      <c r="E419">
        <v>117</v>
      </c>
      <c r="F419">
        <v>87</v>
      </c>
      <c r="G419" t="s">
        <v>14</v>
      </c>
      <c r="H419" t="s">
        <v>13</v>
      </c>
      <c r="I419" t="s">
        <v>15</v>
      </c>
      <c r="J419" s="2">
        <v>2404.56</v>
      </c>
      <c r="K419" s="3">
        <v>45854</v>
      </c>
      <c r="L419" s="3">
        <v>45856</v>
      </c>
      <c r="M419" t="s">
        <v>19</v>
      </c>
      <c r="N419" t="str">
        <f>IF(Table1[[#This Row],[Age]]&lt;25,"&lt; 25",IF(Table1[[#This Row],[Age]]&lt;36,"25-35",IF(Table1[[#This Row],[Age]]&lt;51,"36-50",IF(Table1[[#This Row],[Age]]&lt;66,"51-65",IF(Table1[[#This Row],[Age]]&gt;65,"&gt;65","none")))))</f>
        <v>&gt;65</v>
      </c>
      <c r="O419" t="str">
        <f>IF(AND(Table1[[#This Row],[Smoker]]="Yes",Table1[[#This Row],[Diabetic]]="Yes"),"Yes","No")</f>
        <v>No</v>
      </c>
      <c r="P419" t="str">
        <f>IF(OR(Table1[[#This Row],[Smoker]]="Yes",Table1[[#This Row],[Diabetic]]="Yes"),"Yes","No")</f>
        <v>Yes</v>
      </c>
      <c r="Q419" s="1" t="str">
        <f>IF(OR(Table1[[#This Row],[Systolic]]&gt;125,Table1[[#This Row],[Diastolic]]&gt;90),"High","Normal")</f>
        <v>Normal</v>
      </c>
      <c r="R419" s="1">
        <f>Table1[[#This Row],[Discharge_Date]]-Table1[[#This Row],[Admission_Date]]</f>
        <v>2</v>
      </c>
      <c r="S419" s="1"/>
    </row>
    <row r="420" spans="1:19" x14ac:dyDescent="0.3">
      <c r="A420" t="s">
        <v>441</v>
      </c>
      <c r="B420">
        <v>79</v>
      </c>
      <c r="C420" t="s">
        <v>12</v>
      </c>
      <c r="D420">
        <v>36</v>
      </c>
      <c r="E420">
        <v>148</v>
      </c>
      <c r="F420">
        <v>118</v>
      </c>
      <c r="G420" t="s">
        <v>14</v>
      </c>
      <c r="H420" t="s">
        <v>14</v>
      </c>
      <c r="I420" t="s">
        <v>34</v>
      </c>
      <c r="J420" s="2">
        <v>411.34</v>
      </c>
      <c r="K420" s="3">
        <v>45710</v>
      </c>
      <c r="L420" s="3">
        <v>45712</v>
      </c>
      <c r="M420" t="s">
        <v>19</v>
      </c>
      <c r="N420" t="str">
        <f>IF(Table1[[#This Row],[Age]]&lt;25,"&lt; 25",IF(Table1[[#This Row],[Age]]&lt;36,"25-35",IF(Table1[[#This Row],[Age]]&lt;51,"36-50",IF(Table1[[#This Row],[Age]]&lt;66,"51-65",IF(Table1[[#This Row],[Age]]&gt;65,"&gt;65","none")))))</f>
        <v>&gt;65</v>
      </c>
      <c r="O420" t="str">
        <f>IF(AND(Table1[[#This Row],[Smoker]]="Yes",Table1[[#This Row],[Diabetic]]="Yes"),"Yes","No")</f>
        <v>Yes</v>
      </c>
      <c r="P420" t="str">
        <f>IF(OR(Table1[[#This Row],[Smoker]]="Yes",Table1[[#This Row],[Diabetic]]="Yes"),"Yes","No")</f>
        <v>Yes</v>
      </c>
      <c r="Q420" s="1" t="str">
        <f>IF(OR(Table1[[#This Row],[Systolic]]&gt;125,Table1[[#This Row],[Diastolic]]&gt;90),"High","Normal")</f>
        <v>High</v>
      </c>
      <c r="R420" s="1">
        <f>Table1[[#This Row],[Discharge_Date]]-Table1[[#This Row],[Admission_Date]]</f>
        <v>2</v>
      </c>
      <c r="S420" s="1"/>
    </row>
    <row r="421" spans="1:19" x14ac:dyDescent="0.3">
      <c r="A421" t="s">
        <v>442</v>
      </c>
      <c r="B421">
        <v>56</v>
      </c>
      <c r="C421" t="s">
        <v>12</v>
      </c>
      <c r="D421">
        <v>29.4</v>
      </c>
      <c r="E421">
        <v>148</v>
      </c>
      <c r="F421">
        <v>113</v>
      </c>
      <c r="G421" t="s">
        <v>14</v>
      </c>
      <c r="H421" t="s">
        <v>14</v>
      </c>
      <c r="I421" t="s">
        <v>25</v>
      </c>
      <c r="J421" s="2">
        <v>3848.4</v>
      </c>
      <c r="K421" s="3">
        <v>45890</v>
      </c>
      <c r="L421" s="3">
        <v>45893</v>
      </c>
      <c r="M421" t="s">
        <v>23</v>
      </c>
      <c r="N421" t="str">
        <f>IF(Table1[[#This Row],[Age]]&lt;25,"&lt; 25",IF(Table1[[#This Row],[Age]]&lt;36,"25-35",IF(Table1[[#This Row],[Age]]&lt;51,"36-50",IF(Table1[[#This Row],[Age]]&lt;66,"51-65",IF(Table1[[#This Row],[Age]]&gt;65,"&gt;65","none")))))</f>
        <v>51-65</v>
      </c>
      <c r="O421" t="str">
        <f>IF(AND(Table1[[#This Row],[Smoker]]="Yes",Table1[[#This Row],[Diabetic]]="Yes"),"Yes","No")</f>
        <v>Yes</v>
      </c>
      <c r="P421" t="str">
        <f>IF(OR(Table1[[#This Row],[Smoker]]="Yes",Table1[[#This Row],[Diabetic]]="Yes"),"Yes","No")</f>
        <v>Yes</v>
      </c>
      <c r="Q421" s="1" t="str">
        <f>IF(OR(Table1[[#This Row],[Systolic]]&gt;125,Table1[[#This Row],[Diastolic]]&gt;90),"High","Normal")</f>
        <v>High</v>
      </c>
      <c r="R421" s="1">
        <f>Table1[[#This Row],[Discharge_Date]]-Table1[[#This Row],[Admission_Date]]</f>
        <v>3</v>
      </c>
      <c r="S421" s="1"/>
    </row>
    <row r="422" spans="1:19" x14ac:dyDescent="0.3">
      <c r="A422" t="s">
        <v>443</v>
      </c>
      <c r="B422">
        <v>52</v>
      </c>
      <c r="C422" t="s">
        <v>18</v>
      </c>
      <c r="D422">
        <v>18.2</v>
      </c>
      <c r="E422">
        <v>111</v>
      </c>
      <c r="F422">
        <v>119</v>
      </c>
      <c r="G422" t="s">
        <v>13</v>
      </c>
      <c r="H422" t="s">
        <v>14</v>
      </c>
      <c r="I422" t="s">
        <v>32</v>
      </c>
      <c r="J422" s="2">
        <v>3402.11</v>
      </c>
      <c r="K422" s="3">
        <v>45729</v>
      </c>
      <c r="L422" s="3">
        <v>45742</v>
      </c>
      <c r="M422" t="s">
        <v>16</v>
      </c>
      <c r="N422" t="str">
        <f>IF(Table1[[#This Row],[Age]]&lt;25,"&lt; 25",IF(Table1[[#This Row],[Age]]&lt;36,"25-35",IF(Table1[[#This Row],[Age]]&lt;51,"36-50",IF(Table1[[#This Row],[Age]]&lt;66,"51-65",IF(Table1[[#This Row],[Age]]&gt;65,"&gt;65","none")))))</f>
        <v>51-65</v>
      </c>
      <c r="O422" t="str">
        <f>IF(AND(Table1[[#This Row],[Smoker]]="Yes",Table1[[#This Row],[Diabetic]]="Yes"),"Yes","No")</f>
        <v>No</v>
      </c>
      <c r="P422" t="str">
        <f>IF(OR(Table1[[#This Row],[Smoker]]="Yes",Table1[[#This Row],[Diabetic]]="Yes"),"Yes","No")</f>
        <v>Yes</v>
      </c>
      <c r="Q422" s="1" t="str">
        <f>IF(OR(Table1[[#This Row],[Systolic]]&gt;125,Table1[[#This Row],[Diastolic]]&gt;90),"High","Normal")</f>
        <v>High</v>
      </c>
      <c r="R422" s="1">
        <f>Table1[[#This Row],[Discharge_Date]]-Table1[[#This Row],[Admission_Date]]</f>
        <v>13</v>
      </c>
      <c r="S422" s="1"/>
    </row>
    <row r="423" spans="1:19" x14ac:dyDescent="0.3">
      <c r="A423" t="s">
        <v>444</v>
      </c>
      <c r="B423">
        <v>87</v>
      </c>
      <c r="C423" t="s">
        <v>12</v>
      </c>
      <c r="D423">
        <v>39.4</v>
      </c>
      <c r="E423">
        <v>114</v>
      </c>
      <c r="F423">
        <v>64</v>
      </c>
      <c r="G423" t="s">
        <v>14</v>
      </c>
      <c r="H423" t="s">
        <v>13</v>
      </c>
      <c r="I423" t="s">
        <v>34</v>
      </c>
      <c r="J423" s="2">
        <v>810.57</v>
      </c>
      <c r="K423" s="3">
        <v>45690</v>
      </c>
      <c r="L423" s="3">
        <v>45704</v>
      </c>
      <c r="M423" t="s">
        <v>19</v>
      </c>
      <c r="N423" t="str">
        <f>IF(Table1[[#This Row],[Age]]&lt;25,"&lt; 25",IF(Table1[[#This Row],[Age]]&lt;36,"25-35",IF(Table1[[#This Row],[Age]]&lt;51,"36-50",IF(Table1[[#This Row],[Age]]&lt;66,"51-65",IF(Table1[[#This Row],[Age]]&gt;65,"&gt;65","none")))))</f>
        <v>&gt;65</v>
      </c>
      <c r="O423" t="str">
        <f>IF(AND(Table1[[#This Row],[Smoker]]="Yes",Table1[[#This Row],[Diabetic]]="Yes"),"Yes","No")</f>
        <v>No</v>
      </c>
      <c r="P423" t="str">
        <f>IF(OR(Table1[[#This Row],[Smoker]]="Yes",Table1[[#This Row],[Diabetic]]="Yes"),"Yes","No")</f>
        <v>Yes</v>
      </c>
      <c r="Q423" s="1" t="str">
        <f>IF(OR(Table1[[#This Row],[Systolic]]&gt;125,Table1[[#This Row],[Diastolic]]&gt;90),"High","Normal")</f>
        <v>Normal</v>
      </c>
      <c r="R423" s="1">
        <f>Table1[[#This Row],[Discharge_Date]]-Table1[[#This Row],[Admission_Date]]</f>
        <v>14</v>
      </c>
      <c r="S423" s="1"/>
    </row>
    <row r="424" spans="1:19" x14ac:dyDescent="0.3">
      <c r="A424" t="s">
        <v>445</v>
      </c>
      <c r="B424">
        <v>51</v>
      </c>
      <c r="C424" t="s">
        <v>12</v>
      </c>
      <c r="D424">
        <v>23.4</v>
      </c>
      <c r="E424">
        <v>180</v>
      </c>
      <c r="F424">
        <v>106</v>
      </c>
      <c r="G424" t="s">
        <v>14</v>
      </c>
      <c r="H424" t="s">
        <v>13</v>
      </c>
      <c r="I424" t="s">
        <v>15</v>
      </c>
      <c r="J424" s="2">
        <v>1162.79</v>
      </c>
      <c r="K424" s="3">
        <v>45927</v>
      </c>
      <c r="L424" s="3">
        <v>45940</v>
      </c>
      <c r="M424" t="s">
        <v>19</v>
      </c>
      <c r="N424" t="str">
        <f>IF(Table1[[#This Row],[Age]]&lt;25,"&lt; 25",IF(Table1[[#This Row],[Age]]&lt;36,"25-35",IF(Table1[[#This Row],[Age]]&lt;51,"36-50",IF(Table1[[#This Row],[Age]]&lt;66,"51-65",IF(Table1[[#This Row],[Age]]&gt;65,"&gt;65","none")))))</f>
        <v>51-65</v>
      </c>
      <c r="O424" t="str">
        <f>IF(AND(Table1[[#This Row],[Smoker]]="Yes",Table1[[#This Row],[Diabetic]]="Yes"),"Yes","No")</f>
        <v>No</v>
      </c>
      <c r="P424" t="str">
        <f>IF(OR(Table1[[#This Row],[Smoker]]="Yes",Table1[[#This Row],[Diabetic]]="Yes"),"Yes","No")</f>
        <v>Yes</v>
      </c>
      <c r="Q424" s="1" t="str">
        <f>IF(OR(Table1[[#This Row],[Systolic]]&gt;125,Table1[[#This Row],[Diastolic]]&gt;90),"High","Normal")</f>
        <v>High</v>
      </c>
      <c r="R424" s="1">
        <f>Table1[[#This Row],[Discharge_Date]]-Table1[[#This Row],[Admission_Date]]</f>
        <v>13</v>
      </c>
      <c r="S424" s="1"/>
    </row>
    <row r="425" spans="1:19" x14ac:dyDescent="0.3">
      <c r="A425" t="s">
        <v>446</v>
      </c>
      <c r="B425">
        <v>36</v>
      </c>
      <c r="C425" t="s">
        <v>18</v>
      </c>
      <c r="D425">
        <v>32.299999999999997</v>
      </c>
      <c r="E425">
        <v>130</v>
      </c>
      <c r="F425">
        <v>104</v>
      </c>
      <c r="G425" t="s">
        <v>13</v>
      </c>
      <c r="H425" t="s">
        <v>14</v>
      </c>
      <c r="I425" t="s">
        <v>15</v>
      </c>
      <c r="J425" s="2">
        <v>2094.1</v>
      </c>
      <c r="K425" s="3">
        <v>45686</v>
      </c>
      <c r="L425" s="3">
        <v>45697</v>
      </c>
      <c r="M425" t="s">
        <v>23</v>
      </c>
      <c r="N425" t="str">
        <f>IF(Table1[[#This Row],[Age]]&lt;25,"&lt; 25",IF(Table1[[#This Row],[Age]]&lt;36,"25-35",IF(Table1[[#This Row],[Age]]&lt;51,"36-50",IF(Table1[[#This Row],[Age]]&lt;66,"51-65",IF(Table1[[#This Row],[Age]]&gt;65,"&gt;65","none")))))</f>
        <v>36-50</v>
      </c>
      <c r="O425" t="str">
        <f>IF(AND(Table1[[#This Row],[Smoker]]="Yes",Table1[[#This Row],[Diabetic]]="Yes"),"Yes","No")</f>
        <v>No</v>
      </c>
      <c r="P425" t="str">
        <f>IF(OR(Table1[[#This Row],[Smoker]]="Yes",Table1[[#This Row],[Diabetic]]="Yes"),"Yes","No")</f>
        <v>Yes</v>
      </c>
      <c r="Q425" s="1" t="str">
        <f>IF(OR(Table1[[#This Row],[Systolic]]&gt;125,Table1[[#This Row],[Diastolic]]&gt;90),"High","Normal")</f>
        <v>High</v>
      </c>
      <c r="R425" s="1">
        <f>Table1[[#This Row],[Discharge_Date]]-Table1[[#This Row],[Admission_Date]]</f>
        <v>11</v>
      </c>
      <c r="S425" s="1"/>
    </row>
    <row r="426" spans="1:19" x14ac:dyDescent="0.3">
      <c r="A426" t="s">
        <v>447</v>
      </c>
      <c r="B426">
        <v>32</v>
      </c>
      <c r="C426" t="s">
        <v>12</v>
      </c>
      <c r="D426">
        <v>26.7</v>
      </c>
      <c r="E426">
        <v>143</v>
      </c>
      <c r="F426">
        <v>113</v>
      </c>
      <c r="G426" t="s">
        <v>14</v>
      </c>
      <c r="H426" t="s">
        <v>13</v>
      </c>
      <c r="I426" t="s">
        <v>32</v>
      </c>
      <c r="J426" s="2">
        <v>2976.07</v>
      </c>
      <c r="K426" s="3">
        <v>45619</v>
      </c>
      <c r="L426" s="3">
        <v>45624</v>
      </c>
      <c r="M426" t="s">
        <v>19</v>
      </c>
      <c r="N426" t="str">
        <f>IF(Table1[[#This Row],[Age]]&lt;25,"&lt; 25",IF(Table1[[#This Row],[Age]]&lt;36,"25-35",IF(Table1[[#This Row],[Age]]&lt;51,"36-50",IF(Table1[[#This Row],[Age]]&lt;66,"51-65",IF(Table1[[#This Row],[Age]]&gt;65,"&gt;65","none")))))</f>
        <v>25-35</v>
      </c>
      <c r="O426" t="str">
        <f>IF(AND(Table1[[#This Row],[Smoker]]="Yes",Table1[[#This Row],[Diabetic]]="Yes"),"Yes","No")</f>
        <v>No</v>
      </c>
      <c r="P426" t="str">
        <f>IF(OR(Table1[[#This Row],[Smoker]]="Yes",Table1[[#This Row],[Diabetic]]="Yes"),"Yes","No")</f>
        <v>Yes</v>
      </c>
      <c r="Q426" s="1" t="str">
        <f>IF(OR(Table1[[#This Row],[Systolic]]&gt;125,Table1[[#This Row],[Diastolic]]&gt;90),"High","Normal")</f>
        <v>High</v>
      </c>
      <c r="R426" s="1">
        <f>Table1[[#This Row],[Discharge_Date]]-Table1[[#This Row],[Admission_Date]]</f>
        <v>5</v>
      </c>
      <c r="S426" s="1"/>
    </row>
    <row r="427" spans="1:19" x14ac:dyDescent="0.3">
      <c r="A427" t="s">
        <v>448</v>
      </c>
      <c r="B427">
        <v>32</v>
      </c>
      <c r="C427" t="s">
        <v>12</v>
      </c>
      <c r="D427">
        <v>37.1</v>
      </c>
      <c r="E427">
        <v>163</v>
      </c>
      <c r="F427">
        <v>93</v>
      </c>
      <c r="G427" t="s">
        <v>14</v>
      </c>
      <c r="H427" t="s">
        <v>13</v>
      </c>
      <c r="I427" t="s">
        <v>32</v>
      </c>
      <c r="J427" s="2">
        <v>4583.1899999999996</v>
      </c>
      <c r="K427" s="3">
        <v>45589</v>
      </c>
      <c r="L427" s="3">
        <v>45590</v>
      </c>
      <c r="M427" t="s">
        <v>19</v>
      </c>
      <c r="N427" t="str">
        <f>IF(Table1[[#This Row],[Age]]&lt;25,"&lt; 25",IF(Table1[[#This Row],[Age]]&lt;36,"25-35",IF(Table1[[#This Row],[Age]]&lt;51,"36-50",IF(Table1[[#This Row],[Age]]&lt;66,"51-65",IF(Table1[[#This Row],[Age]]&gt;65,"&gt;65","none")))))</f>
        <v>25-35</v>
      </c>
      <c r="O427" t="str">
        <f>IF(AND(Table1[[#This Row],[Smoker]]="Yes",Table1[[#This Row],[Diabetic]]="Yes"),"Yes","No")</f>
        <v>No</v>
      </c>
      <c r="P427" t="str">
        <f>IF(OR(Table1[[#This Row],[Smoker]]="Yes",Table1[[#This Row],[Diabetic]]="Yes"),"Yes","No")</f>
        <v>Yes</v>
      </c>
      <c r="Q427" s="1" t="str">
        <f>IF(OR(Table1[[#This Row],[Systolic]]&gt;125,Table1[[#This Row],[Diastolic]]&gt;90),"High","Normal")</f>
        <v>High</v>
      </c>
      <c r="R427" s="1">
        <f>Table1[[#This Row],[Discharge_Date]]-Table1[[#This Row],[Admission_Date]]</f>
        <v>1</v>
      </c>
      <c r="S427" s="1"/>
    </row>
    <row r="428" spans="1:19" x14ac:dyDescent="0.3">
      <c r="A428" t="s">
        <v>449</v>
      </c>
      <c r="B428">
        <v>51</v>
      </c>
      <c r="C428" t="s">
        <v>12</v>
      </c>
      <c r="D428">
        <v>18.600000000000001</v>
      </c>
      <c r="E428">
        <v>152</v>
      </c>
      <c r="F428">
        <v>81</v>
      </c>
      <c r="G428" t="s">
        <v>14</v>
      </c>
      <c r="H428" t="s">
        <v>14</v>
      </c>
      <c r="I428" t="s">
        <v>15</v>
      </c>
      <c r="J428" s="2">
        <v>2236.06</v>
      </c>
      <c r="K428" s="3">
        <v>45863</v>
      </c>
      <c r="L428" s="3">
        <v>45866</v>
      </c>
      <c r="M428" t="s">
        <v>16</v>
      </c>
      <c r="N428" t="str">
        <f>IF(Table1[[#This Row],[Age]]&lt;25,"&lt; 25",IF(Table1[[#This Row],[Age]]&lt;36,"25-35",IF(Table1[[#This Row],[Age]]&lt;51,"36-50",IF(Table1[[#This Row],[Age]]&lt;66,"51-65",IF(Table1[[#This Row],[Age]]&gt;65,"&gt;65","none")))))</f>
        <v>51-65</v>
      </c>
      <c r="O428" t="str">
        <f>IF(AND(Table1[[#This Row],[Smoker]]="Yes",Table1[[#This Row],[Diabetic]]="Yes"),"Yes","No")</f>
        <v>Yes</v>
      </c>
      <c r="P428" t="str">
        <f>IF(OR(Table1[[#This Row],[Smoker]]="Yes",Table1[[#This Row],[Diabetic]]="Yes"),"Yes","No")</f>
        <v>Yes</v>
      </c>
      <c r="Q428" s="1" t="str">
        <f>IF(OR(Table1[[#This Row],[Systolic]]&gt;125,Table1[[#This Row],[Diastolic]]&gt;90),"High","Normal")</f>
        <v>High</v>
      </c>
      <c r="R428" s="1">
        <f>Table1[[#This Row],[Discharge_Date]]-Table1[[#This Row],[Admission_Date]]</f>
        <v>3</v>
      </c>
      <c r="S428" s="1"/>
    </row>
    <row r="429" spans="1:19" x14ac:dyDescent="0.3">
      <c r="A429" t="s">
        <v>450</v>
      </c>
      <c r="B429">
        <v>32</v>
      </c>
      <c r="C429" t="s">
        <v>12</v>
      </c>
      <c r="D429">
        <v>36</v>
      </c>
      <c r="E429">
        <v>111</v>
      </c>
      <c r="F429">
        <v>101</v>
      </c>
      <c r="G429" t="s">
        <v>13</v>
      </c>
      <c r="H429" t="s">
        <v>13</v>
      </c>
      <c r="I429" t="s">
        <v>32</v>
      </c>
      <c r="J429" s="2">
        <v>3543.83</v>
      </c>
      <c r="K429" s="3">
        <v>45882</v>
      </c>
      <c r="L429" s="3">
        <v>45887</v>
      </c>
      <c r="M429" t="s">
        <v>16</v>
      </c>
      <c r="N429" t="str">
        <f>IF(Table1[[#This Row],[Age]]&lt;25,"&lt; 25",IF(Table1[[#This Row],[Age]]&lt;36,"25-35",IF(Table1[[#This Row],[Age]]&lt;51,"36-50",IF(Table1[[#This Row],[Age]]&lt;66,"51-65",IF(Table1[[#This Row],[Age]]&gt;65,"&gt;65","none")))))</f>
        <v>25-35</v>
      </c>
      <c r="O429" t="str">
        <f>IF(AND(Table1[[#This Row],[Smoker]]="Yes",Table1[[#This Row],[Diabetic]]="Yes"),"Yes","No")</f>
        <v>No</v>
      </c>
      <c r="P429" t="str">
        <f>IF(OR(Table1[[#This Row],[Smoker]]="Yes",Table1[[#This Row],[Diabetic]]="Yes"),"Yes","No")</f>
        <v>No</v>
      </c>
      <c r="Q429" s="1" t="str">
        <f>IF(OR(Table1[[#This Row],[Systolic]]&gt;125,Table1[[#This Row],[Diastolic]]&gt;90),"High","Normal")</f>
        <v>High</v>
      </c>
      <c r="R429" s="1">
        <f>Table1[[#This Row],[Discharge_Date]]-Table1[[#This Row],[Admission_Date]]</f>
        <v>5</v>
      </c>
      <c r="S429" s="1"/>
    </row>
    <row r="430" spans="1:19" x14ac:dyDescent="0.3">
      <c r="A430" t="s">
        <v>451</v>
      </c>
      <c r="B430">
        <v>56</v>
      </c>
      <c r="C430" t="s">
        <v>18</v>
      </c>
      <c r="D430">
        <v>30</v>
      </c>
      <c r="E430">
        <v>97</v>
      </c>
      <c r="F430">
        <v>65</v>
      </c>
      <c r="G430" t="s">
        <v>14</v>
      </c>
      <c r="H430" t="s">
        <v>13</v>
      </c>
      <c r="I430" t="s">
        <v>15</v>
      </c>
      <c r="J430" s="2">
        <v>2884.04</v>
      </c>
      <c r="K430" s="3">
        <v>45749</v>
      </c>
      <c r="L430" s="3">
        <v>45753</v>
      </c>
      <c r="M430" t="s">
        <v>23</v>
      </c>
      <c r="N430" t="str">
        <f>IF(Table1[[#This Row],[Age]]&lt;25,"&lt; 25",IF(Table1[[#This Row],[Age]]&lt;36,"25-35",IF(Table1[[#This Row],[Age]]&lt;51,"36-50",IF(Table1[[#This Row],[Age]]&lt;66,"51-65",IF(Table1[[#This Row],[Age]]&gt;65,"&gt;65","none")))))</f>
        <v>51-65</v>
      </c>
      <c r="O430" t="str">
        <f>IF(AND(Table1[[#This Row],[Smoker]]="Yes",Table1[[#This Row],[Diabetic]]="Yes"),"Yes","No")</f>
        <v>No</v>
      </c>
      <c r="P430" t="str">
        <f>IF(OR(Table1[[#This Row],[Smoker]]="Yes",Table1[[#This Row],[Diabetic]]="Yes"),"Yes","No")</f>
        <v>Yes</v>
      </c>
      <c r="Q430" s="1" t="str">
        <f>IF(OR(Table1[[#This Row],[Systolic]]&gt;125,Table1[[#This Row],[Diastolic]]&gt;90),"High","Normal")</f>
        <v>Normal</v>
      </c>
      <c r="R430" s="1">
        <f>Table1[[#This Row],[Discharge_Date]]-Table1[[#This Row],[Admission_Date]]</f>
        <v>4</v>
      </c>
      <c r="S430" s="1"/>
    </row>
    <row r="431" spans="1:19" x14ac:dyDescent="0.3">
      <c r="A431" t="s">
        <v>452</v>
      </c>
      <c r="B431">
        <v>29</v>
      </c>
      <c r="C431" t="s">
        <v>18</v>
      </c>
      <c r="D431">
        <v>19.2</v>
      </c>
      <c r="E431">
        <v>96</v>
      </c>
      <c r="F431">
        <v>62</v>
      </c>
      <c r="G431" t="s">
        <v>14</v>
      </c>
      <c r="H431" t="s">
        <v>14</v>
      </c>
      <c r="I431" t="s">
        <v>15</v>
      </c>
      <c r="J431" s="2">
        <v>1670.92</v>
      </c>
      <c r="K431" s="3">
        <v>45914</v>
      </c>
      <c r="L431" s="3">
        <v>45922</v>
      </c>
      <c r="M431" t="s">
        <v>19</v>
      </c>
      <c r="N431" t="str">
        <f>IF(Table1[[#This Row],[Age]]&lt;25,"&lt; 25",IF(Table1[[#This Row],[Age]]&lt;36,"25-35",IF(Table1[[#This Row],[Age]]&lt;51,"36-50",IF(Table1[[#This Row],[Age]]&lt;66,"51-65",IF(Table1[[#This Row],[Age]]&gt;65,"&gt;65","none")))))</f>
        <v>25-35</v>
      </c>
      <c r="O431" t="str">
        <f>IF(AND(Table1[[#This Row],[Smoker]]="Yes",Table1[[#This Row],[Diabetic]]="Yes"),"Yes","No")</f>
        <v>Yes</v>
      </c>
      <c r="P431" t="str">
        <f>IF(OR(Table1[[#This Row],[Smoker]]="Yes",Table1[[#This Row],[Diabetic]]="Yes"),"Yes","No")</f>
        <v>Yes</v>
      </c>
      <c r="Q431" s="1" t="str">
        <f>IF(OR(Table1[[#This Row],[Systolic]]&gt;125,Table1[[#This Row],[Diastolic]]&gt;90),"High","Normal")</f>
        <v>Normal</v>
      </c>
      <c r="R431" s="1">
        <f>Table1[[#This Row],[Discharge_Date]]-Table1[[#This Row],[Admission_Date]]</f>
        <v>8</v>
      </c>
      <c r="S431" s="1"/>
    </row>
    <row r="432" spans="1:19" x14ac:dyDescent="0.3">
      <c r="A432" t="s">
        <v>453</v>
      </c>
      <c r="B432">
        <v>64</v>
      </c>
      <c r="C432" t="s">
        <v>18</v>
      </c>
      <c r="D432">
        <v>26.1</v>
      </c>
      <c r="E432">
        <v>137</v>
      </c>
      <c r="F432">
        <v>119</v>
      </c>
      <c r="G432" t="s">
        <v>14</v>
      </c>
      <c r="H432" t="s">
        <v>14</v>
      </c>
      <c r="I432" t="s">
        <v>15</v>
      </c>
      <c r="J432" s="2">
        <v>2103.19</v>
      </c>
      <c r="K432" s="3">
        <v>45579</v>
      </c>
      <c r="L432" s="3">
        <v>45593</v>
      </c>
      <c r="M432" t="s">
        <v>23</v>
      </c>
      <c r="N432" t="str">
        <f>IF(Table1[[#This Row],[Age]]&lt;25,"&lt; 25",IF(Table1[[#This Row],[Age]]&lt;36,"25-35",IF(Table1[[#This Row],[Age]]&lt;51,"36-50",IF(Table1[[#This Row],[Age]]&lt;66,"51-65",IF(Table1[[#This Row],[Age]]&gt;65,"&gt;65","none")))))</f>
        <v>51-65</v>
      </c>
      <c r="O432" t="str">
        <f>IF(AND(Table1[[#This Row],[Smoker]]="Yes",Table1[[#This Row],[Diabetic]]="Yes"),"Yes","No")</f>
        <v>Yes</v>
      </c>
      <c r="P432" t="str">
        <f>IF(OR(Table1[[#This Row],[Smoker]]="Yes",Table1[[#This Row],[Diabetic]]="Yes"),"Yes","No")</f>
        <v>Yes</v>
      </c>
      <c r="Q432" s="1" t="str">
        <f>IF(OR(Table1[[#This Row],[Systolic]]&gt;125,Table1[[#This Row],[Diastolic]]&gt;90),"High","Normal")</f>
        <v>High</v>
      </c>
      <c r="R432" s="1">
        <f>Table1[[#This Row],[Discharge_Date]]-Table1[[#This Row],[Admission_Date]]</f>
        <v>14</v>
      </c>
      <c r="S432" s="1"/>
    </row>
    <row r="433" spans="1:19" x14ac:dyDescent="0.3">
      <c r="A433" t="s">
        <v>454</v>
      </c>
      <c r="B433">
        <v>54</v>
      </c>
      <c r="C433" t="s">
        <v>12</v>
      </c>
      <c r="D433">
        <v>30</v>
      </c>
      <c r="E433">
        <v>92</v>
      </c>
      <c r="F433">
        <v>62</v>
      </c>
      <c r="G433" t="s">
        <v>13</v>
      </c>
      <c r="H433" t="s">
        <v>14</v>
      </c>
      <c r="I433" t="s">
        <v>21</v>
      </c>
      <c r="J433" s="2">
        <v>2337.38</v>
      </c>
      <c r="K433" s="3">
        <v>45737</v>
      </c>
      <c r="L433" s="3">
        <v>45742</v>
      </c>
      <c r="M433" t="s">
        <v>16</v>
      </c>
      <c r="N433" t="str">
        <f>IF(Table1[[#This Row],[Age]]&lt;25,"&lt; 25",IF(Table1[[#This Row],[Age]]&lt;36,"25-35",IF(Table1[[#This Row],[Age]]&lt;51,"36-50",IF(Table1[[#This Row],[Age]]&lt;66,"51-65",IF(Table1[[#This Row],[Age]]&gt;65,"&gt;65","none")))))</f>
        <v>51-65</v>
      </c>
      <c r="O433" t="str">
        <f>IF(AND(Table1[[#This Row],[Smoker]]="Yes",Table1[[#This Row],[Diabetic]]="Yes"),"Yes","No")</f>
        <v>No</v>
      </c>
      <c r="P433" t="str">
        <f>IF(OR(Table1[[#This Row],[Smoker]]="Yes",Table1[[#This Row],[Diabetic]]="Yes"),"Yes","No")</f>
        <v>Yes</v>
      </c>
      <c r="Q433" s="1" t="str">
        <f>IF(OR(Table1[[#This Row],[Systolic]]&gt;125,Table1[[#This Row],[Diastolic]]&gt;90),"High","Normal")</f>
        <v>Normal</v>
      </c>
      <c r="R433" s="1">
        <f>Table1[[#This Row],[Discharge_Date]]-Table1[[#This Row],[Admission_Date]]</f>
        <v>5</v>
      </c>
      <c r="S433" s="1"/>
    </row>
    <row r="434" spans="1:19" x14ac:dyDescent="0.3">
      <c r="A434" t="s">
        <v>455</v>
      </c>
      <c r="B434">
        <v>55</v>
      </c>
      <c r="C434" t="s">
        <v>12</v>
      </c>
      <c r="D434">
        <v>21.6</v>
      </c>
      <c r="E434">
        <v>108</v>
      </c>
      <c r="F434">
        <v>64</v>
      </c>
      <c r="G434" t="s">
        <v>13</v>
      </c>
      <c r="H434" t="s">
        <v>14</v>
      </c>
      <c r="I434" t="s">
        <v>32</v>
      </c>
      <c r="J434" s="2">
        <v>4890.93</v>
      </c>
      <c r="K434" s="3">
        <v>45633</v>
      </c>
      <c r="L434" s="3">
        <v>45635</v>
      </c>
      <c r="M434" t="s">
        <v>16</v>
      </c>
      <c r="N434" t="str">
        <f>IF(Table1[[#This Row],[Age]]&lt;25,"&lt; 25",IF(Table1[[#This Row],[Age]]&lt;36,"25-35",IF(Table1[[#This Row],[Age]]&lt;51,"36-50",IF(Table1[[#This Row],[Age]]&lt;66,"51-65",IF(Table1[[#This Row],[Age]]&gt;65,"&gt;65","none")))))</f>
        <v>51-65</v>
      </c>
      <c r="O434" t="str">
        <f>IF(AND(Table1[[#This Row],[Smoker]]="Yes",Table1[[#This Row],[Diabetic]]="Yes"),"Yes","No")</f>
        <v>No</v>
      </c>
      <c r="P434" t="str">
        <f>IF(OR(Table1[[#This Row],[Smoker]]="Yes",Table1[[#This Row],[Diabetic]]="Yes"),"Yes","No")</f>
        <v>Yes</v>
      </c>
      <c r="Q434" s="1" t="str">
        <f>IF(OR(Table1[[#This Row],[Systolic]]&gt;125,Table1[[#This Row],[Diastolic]]&gt;90),"High","Normal")</f>
        <v>Normal</v>
      </c>
      <c r="R434" s="1">
        <f>Table1[[#This Row],[Discharge_Date]]-Table1[[#This Row],[Admission_Date]]</f>
        <v>2</v>
      </c>
      <c r="S434" s="1"/>
    </row>
    <row r="435" spans="1:19" x14ac:dyDescent="0.3">
      <c r="A435" t="s">
        <v>456</v>
      </c>
      <c r="B435">
        <v>62</v>
      </c>
      <c r="C435" t="s">
        <v>18</v>
      </c>
      <c r="D435">
        <v>27.1</v>
      </c>
      <c r="E435">
        <v>161</v>
      </c>
      <c r="F435">
        <v>83</v>
      </c>
      <c r="G435" t="s">
        <v>14</v>
      </c>
      <c r="H435" t="s">
        <v>14</v>
      </c>
      <c r="I435" t="s">
        <v>15</v>
      </c>
      <c r="J435" s="2">
        <v>1999.28</v>
      </c>
      <c r="K435" s="3">
        <v>45908</v>
      </c>
      <c r="L435" s="3">
        <v>45909</v>
      </c>
      <c r="M435" t="s">
        <v>16</v>
      </c>
      <c r="N435" t="str">
        <f>IF(Table1[[#This Row],[Age]]&lt;25,"&lt; 25",IF(Table1[[#This Row],[Age]]&lt;36,"25-35",IF(Table1[[#This Row],[Age]]&lt;51,"36-50",IF(Table1[[#This Row],[Age]]&lt;66,"51-65",IF(Table1[[#This Row],[Age]]&gt;65,"&gt;65","none")))))</f>
        <v>51-65</v>
      </c>
      <c r="O435" t="str">
        <f>IF(AND(Table1[[#This Row],[Smoker]]="Yes",Table1[[#This Row],[Diabetic]]="Yes"),"Yes","No")</f>
        <v>Yes</v>
      </c>
      <c r="P435" t="str">
        <f>IF(OR(Table1[[#This Row],[Smoker]]="Yes",Table1[[#This Row],[Diabetic]]="Yes"),"Yes","No")</f>
        <v>Yes</v>
      </c>
      <c r="Q435" s="1" t="str">
        <f>IF(OR(Table1[[#This Row],[Systolic]]&gt;125,Table1[[#This Row],[Diastolic]]&gt;90),"High","Normal")</f>
        <v>High</v>
      </c>
      <c r="R435" s="1">
        <f>Table1[[#This Row],[Discharge_Date]]-Table1[[#This Row],[Admission_Date]]</f>
        <v>1</v>
      </c>
      <c r="S435" s="1"/>
    </row>
    <row r="436" spans="1:19" x14ac:dyDescent="0.3">
      <c r="A436" t="s">
        <v>457</v>
      </c>
      <c r="B436">
        <v>25</v>
      </c>
      <c r="C436" t="s">
        <v>12</v>
      </c>
      <c r="D436">
        <v>24.7</v>
      </c>
      <c r="E436">
        <v>143</v>
      </c>
      <c r="F436">
        <v>70</v>
      </c>
      <c r="G436" t="s">
        <v>14</v>
      </c>
      <c r="H436" t="s">
        <v>14</v>
      </c>
      <c r="I436" t="s">
        <v>25</v>
      </c>
      <c r="J436" s="2">
        <v>958.79</v>
      </c>
      <c r="K436" s="3">
        <v>45741</v>
      </c>
      <c r="L436" s="3">
        <v>45743</v>
      </c>
      <c r="M436" t="s">
        <v>19</v>
      </c>
      <c r="N436" t="str">
        <f>IF(Table1[[#This Row],[Age]]&lt;25,"&lt; 25",IF(Table1[[#This Row],[Age]]&lt;36,"25-35",IF(Table1[[#This Row],[Age]]&lt;51,"36-50",IF(Table1[[#This Row],[Age]]&lt;66,"51-65",IF(Table1[[#This Row],[Age]]&gt;65,"&gt;65","none")))))</f>
        <v>25-35</v>
      </c>
      <c r="O436" t="str">
        <f>IF(AND(Table1[[#This Row],[Smoker]]="Yes",Table1[[#This Row],[Diabetic]]="Yes"),"Yes","No")</f>
        <v>Yes</v>
      </c>
      <c r="P436" t="str">
        <f>IF(OR(Table1[[#This Row],[Smoker]]="Yes",Table1[[#This Row],[Diabetic]]="Yes"),"Yes","No")</f>
        <v>Yes</v>
      </c>
      <c r="Q436" s="1" t="str">
        <f>IF(OR(Table1[[#This Row],[Systolic]]&gt;125,Table1[[#This Row],[Diastolic]]&gt;90),"High","Normal")</f>
        <v>High</v>
      </c>
      <c r="R436" s="1">
        <f>Table1[[#This Row],[Discharge_Date]]-Table1[[#This Row],[Admission_Date]]</f>
        <v>2</v>
      </c>
      <c r="S436" s="1"/>
    </row>
    <row r="437" spans="1:19" x14ac:dyDescent="0.3">
      <c r="A437" t="s">
        <v>458</v>
      </c>
      <c r="B437">
        <v>43</v>
      </c>
      <c r="C437" t="s">
        <v>12</v>
      </c>
      <c r="D437">
        <v>35</v>
      </c>
      <c r="E437">
        <v>177</v>
      </c>
      <c r="F437">
        <v>106</v>
      </c>
      <c r="G437" t="s">
        <v>14</v>
      </c>
      <c r="H437" t="s">
        <v>14</v>
      </c>
      <c r="I437" t="s">
        <v>34</v>
      </c>
      <c r="J437" s="2">
        <v>2606.06</v>
      </c>
      <c r="K437" s="3">
        <v>45672</v>
      </c>
      <c r="L437" s="3">
        <v>45686</v>
      </c>
      <c r="M437" t="s">
        <v>19</v>
      </c>
      <c r="N437" t="str">
        <f>IF(Table1[[#This Row],[Age]]&lt;25,"&lt; 25",IF(Table1[[#This Row],[Age]]&lt;36,"25-35",IF(Table1[[#This Row],[Age]]&lt;51,"36-50",IF(Table1[[#This Row],[Age]]&lt;66,"51-65",IF(Table1[[#This Row],[Age]]&gt;65,"&gt;65","none")))))</f>
        <v>36-50</v>
      </c>
      <c r="O437" t="str">
        <f>IF(AND(Table1[[#This Row],[Smoker]]="Yes",Table1[[#This Row],[Diabetic]]="Yes"),"Yes","No")</f>
        <v>Yes</v>
      </c>
      <c r="P437" t="str">
        <f>IF(OR(Table1[[#This Row],[Smoker]]="Yes",Table1[[#This Row],[Diabetic]]="Yes"),"Yes","No")</f>
        <v>Yes</v>
      </c>
      <c r="Q437" s="1" t="str">
        <f>IF(OR(Table1[[#This Row],[Systolic]]&gt;125,Table1[[#This Row],[Diastolic]]&gt;90),"High","Normal")</f>
        <v>High</v>
      </c>
      <c r="R437" s="1">
        <f>Table1[[#This Row],[Discharge_Date]]-Table1[[#This Row],[Admission_Date]]</f>
        <v>14</v>
      </c>
      <c r="S437" s="1"/>
    </row>
    <row r="438" spans="1:19" x14ac:dyDescent="0.3">
      <c r="A438" t="s">
        <v>459</v>
      </c>
      <c r="B438">
        <v>88</v>
      </c>
      <c r="C438" t="s">
        <v>12</v>
      </c>
      <c r="D438">
        <v>28.6</v>
      </c>
      <c r="E438">
        <v>106</v>
      </c>
      <c r="F438">
        <v>79</v>
      </c>
      <c r="G438" t="s">
        <v>13</v>
      </c>
      <c r="H438" t="s">
        <v>14</v>
      </c>
      <c r="I438" t="s">
        <v>34</v>
      </c>
      <c r="J438" s="2">
        <v>3022.09</v>
      </c>
      <c r="K438" s="3">
        <v>45889</v>
      </c>
      <c r="L438" s="3">
        <v>45903</v>
      </c>
      <c r="M438" t="s">
        <v>19</v>
      </c>
      <c r="N438" t="str">
        <f>IF(Table1[[#This Row],[Age]]&lt;25,"&lt; 25",IF(Table1[[#This Row],[Age]]&lt;36,"25-35",IF(Table1[[#This Row],[Age]]&lt;51,"36-50",IF(Table1[[#This Row],[Age]]&lt;66,"51-65",IF(Table1[[#This Row],[Age]]&gt;65,"&gt;65","none")))))</f>
        <v>&gt;65</v>
      </c>
      <c r="O438" t="str">
        <f>IF(AND(Table1[[#This Row],[Smoker]]="Yes",Table1[[#This Row],[Diabetic]]="Yes"),"Yes","No")</f>
        <v>No</v>
      </c>
      <c r="P438" t="str">
        <f>IF(OR(Table1[[#This Row],[Smoker]]="Yes",Table1[[#This Row],[Diabetic]]="Yes"),"Yes","No")</f>
        <v>Yes</v>
      </c>
      <c r="Q438" s="1" t="str">
        <f>IF(OR(Table1[[#This Row],[Systolic]]&gt;125,Table1[[#This Row],[Diastolic]]&gt;90),"High","Normal")</f>
        <v>Normal</v>
      </c>
      <c r="R438" s="1">
        <f>Table1[[#This Row],[Discharge_Date]]-Table1[[#This Row],[Admission_Date]]</f>
        <v>14</v>
      </c>
      <c r="S438" s="1"/>
    </row>
    <row r="439" spans="1:19" x14ac:dyDescent="0.3">
      <c r="A439" t="s">
        <v>460</v>
      </c>
      <c r="B439">
        <v>63</v>
      </c>
      <c r="C439" t="s">
        <v>12</v>
      </c>
      <c r="D439">
        <v>22</v>
      </c>
      <c r="E439">
        <v>161</v>
      </c>
      <c r="F439">
        <v>84</v>
      </c>
      <c r="G439" t="s">
        <v>14</v>
      </c>
      <c r="H439" t="s">
        <v>13</v>
      </c>
      <c r="I439" t="s">
        <v>32</v>
      </c>
      <c r="J439" s="2">
        <v>1866.38</v>
      </c>
      <c r="K439" s="3">
        <v>45916</v>
      </c>
      <c r="L439" s="3">
        <v>45929</v>
      </c>
      <c r="M439" t="s">
        <v>16</v>
      </c>
      <c r="N439" t="str">
        <f>IF(Table1[[#This Row],[Age]]&lt;25,"&lt; 25",IF(Table1[[#This Row],[Age]]&lt;36,"25-35",IF(Table1[[#This Row],[Age]]&lt;51,"36-50",IF(Table1[[#This Row],[Age]]&lt;66,"51-65",IF(Table1[[#This Row],[Age]]&gt;65,"&gt;65","none")))))</f>
        <v>51-65</v>
      </c>
      <c r="O439" t="str">
        <f>IF(AND(Table1[[#This Row],[Smoker]]="Yes",Table1[[#This Row],[Diabetic]]="Yes"),"Yes","No")</f>
        <v>No</v>
      </c>
      <c r="P439" t="str">
        <f>IF(OR(Table1[[#This Row],[Smoker]]="Yes",Table1[[#This Row],[Diabetic]]="Yes"),"Yes","No")</f>
        <v>Yes</v>
      </c>
      <c r="Q439" s="1" t="str">
        <f>IF(OR(Table1[[#This Row],[Systolic]]&gt;125,Table1[[#This Row],[Diastolic]]&gt;90),"High","Normal")</f>
        <v>High</v>
      </c>
      <c r="R439" s="1">
        <f>Table1[[#This Row],[Discharge_Date]]-Table1[[#This Row],[Admission_Date]]</f>
        <v>13</v>
      </c>
      <c r="S439" s="1"/>
    </row>
    <row r="440" spans="1:19" x14ac:dyDescent="0.3">
      <c r="A440" t="s">
        <v>461</v>
      </c>
      <c r="B440">
        <v>46</v>
      </c>
      <c r="C440" t="s">
        <v>12</v>
      </c>
      <c r="D440">
        <v>26.8</v>
      </c>
      <c r="E440">
        <v>149</v>
      </c>
      <c r="F440">
        <v>104</v>
      </c>
      <c r="G440" t="s">
        <v>14</v>
      </c>
      <c r="H440" t="s">
        <v>14</v>
      </c>
      <c r="I440" t="s">
        <v>34</v>
      </c>
      <c r="J440" s="2">
        <v>1281.56</v>
      </c>
      <c r="K440" s="3">
        <v>45788</v>
      </c>
      <c r="L440" s="3">
        <v>45800</v>
      </c>
      <c r="M440" t="s">
        <v>23</v>
      </c>
      <c r="N440" t="str">
        <f>IF(Table1[[#This Row],[Age]]&lt;25,"&lt; 25",IF(Table1[[#This Row],[Age]]&lt;36,"25-35",IF(Table1[[#This Row],[Age]]&lt;51,"36-50",IF(Table1[[#This Row],[Age]]&lt;66,"51-65",IF(Table1[[#This Row],[Age]]&gt;65,"&gt;65","none")))))</f>
        <v>36-50</v>
      </c>
      <c r="O440" t="str">
        <f>IF(AND(Table1[[#This Row],[Smoker]]="Yes",Table1[[#This Row],[Diabetic]]="Yes"),"Yes","No")</f>
        <v>Yes</v>
      </c>
      <c r="P440" t="str">
        <f>IF(OR(Table1[[#This Row],[Smoker]]="Yes",Table1[[#This Row],[Diabetic]]="Yes"),"Yes","No")</f>
        <v>Yes</v>
      </c>
      <c r="Q440" s="1" t="str">
        <f>IF(OR(Table1[[#This Row],[Systolic]]&gt;125,Table1[[#This Row],[Diastolic]]&gt;90),"High","Normal")</f>
        <v>High</v>
      </c>
      <c r="R440" s="1">
        <f>Table1[[#This Row],[Discharge_Date]]-Table1[[#This Row],[Admission_Date]]</f>
        <v>12</v>
      </c>
      <c r="S440" s="1"/>
    </row>
    <row r="441" spans="1:19" x14ac:dyDescent="0.3">
      <c r="A441" t="s">
        <v>462</v>
      </c>
      <c r="B441">
        <v>30</v>
      </c>
      <c r="C441" t="s">
        <v>12</v>
      </c>
      <c r="D441">
        <v>28.4</v>
      </c>
      <c r="E441">
        <v>108</v>
      </c>
      <c r="F441">
        <v>83</v>
      </c>
      <c r="G441" t="s">
        <v>13</v>
      </c>
      <c r="H441" t="s">
        <v>13</v>
      </c>
      <c r="I441" t="s">
        <v>34</v>
      </c>
      <c r="J441" s="2">
        <v>849.24</v>
      </c>
      <c r="K441" s="3">
        <v>45894</v>
      </c>
      <c r="L441" s="3">
        <v>45896</v>
      </c>
      <c r="M441" t="s">
        <v>23</v>
      </c>
      <c r="N441" t="str">
        <f>IF(Table1[[#This Row],[Age]]&lt;25,"&lt; 25",IF(Table1[[#This Row],[Age]]&lt;36,"25-35",IF(Table1[[#This Row],[Age]]&lt;51,"36-50",IF(Table1[[#This Row],[Age]]&lt;66,"51-65",IF(Table1[[#This Row],[Age]]&gt;65,"&gt;65","none")))))</f>
        <v>25-35</v>
      </c>
      <c r="O441" t="str">
        <f>IF(AND(Table1[[#This Row],[Smoker]]="Yes",Table1[[#This Row],[Diabetic]]="Yes"),"Yes","No")</f>
        <v>No</v>
      </c>
      <c r="P441" t="str">
        <f>IF(OR(Table1[[#This Row],[Smoker]]="Yes",Table1[[#This Row],[Diabetic]]="Yes"),"Yes","No")</f>
        <v>No</v>
      </c>
      <c r="Q441" s="1" t="str">
        <f>IF(OR(Table1[[#This Row],[Systolic]]&gt;125,Table1[[#This Row],[Diastolic]]&gt;90),"High","Normal")</f>
        <v>Normal</v>
      </c>
      <c r="R441" s="1">
        <f>Table1[[#This Row],[Discharge_Date]]-Table1[[#This Row],[Admission_Date]]</f>
        <v>2</v>
      </c>
      <c r="S441" s="1"/>
    </row>
    <row r="442" spans="1:19" x14ac:dyDescent="0.3">
      <c r="A442" t="s">
        <v>463</v>
      </c>
      <c r="B442">
        <v>57</v>
      </c>
      <c r="C442" t="s">
        <v>18</v>
      </c>
      <c r="D442">
        <v>27.9</v>
      </c>
      <c r="E442">
        <v>93</v>
      </c>
      <c r="F442">
        <v>114</v>
      </c>
      <c r="G442" t="s">
        <v>14</v>
      </c>
      <c r="H442" t="s">
        <v>13</v>
      </c>
      <c r="I442" t="s">
        <v>21</v>
      </c>
      <c r="J442" s="2">
        <v>3592.34</v>
      </c>
      <c r="K442" s="3">
        <v>45570</v>
      </c>
      <c r="L442" s="3">
        <v>45571</v>
      </c>
      <c r="M442" t="s">
        <v>16</v>
      </c>
      <c r="N442" t="str">
        <f>IF(Table1[[#This Row],[Age]]&lt;25,"&lt; 25",IF(Table1[[#This Row],[Age]]&lt;36,"25-35",IF(Table1[[#This Row],[Age]]&lt;51,"36-50",IF(Table1[[#This Row],[Age]]&lt;66,"51-65",IF(Table1[[#This Row],[Age]]&gt;65,"&gt;65","none")))))</f>
        <v>51-65</v>
      </c>
      <c r="O442" t="str">
        <f>IF(AND(Table1[[#This Row],[Smoker]]="Yes",Table1[[#This Row],[Diabetic]]="Yes"),"Yes","No")</f>
        <v>No</v>
      </c>
      <c r="P442" t="str">
        <f>IF(OR(Table1[[#This Row],[Smoker]]="Yes",Table1[[#This Row],[Diabetic]]="Yes"),"Yes","No")</f>
        <v>Yes</v>
      </c>
      <c r="Q442" s="1" t="str">
        <f>IF(OR(Table1[[#This Row],[Systolic]]&gt;125,Table1[[#This Row],[Diastolic]]&gt;90),"High","Normal")</f>
        <v>High</v>
      </c>
      <c r="R442" s="1">
        <f>Table1[[#This Row],[Discharge_Date]]-Table1[[#This Row],[Admission_Date]]</f>
        <v>1</v>
      </c>
      <c r="S442" s="1"/>
    </row>
    <row r="443" spans="1:19" x14ac:dyDescent="0.3">
      <c r="A443" t="s">
        <v>464</v>
      </c>
      <c r="B443">
        <v>58</v>
      </c>
      <c r="C443" t="s">
        <v>18</v>
      </c>
      <c r="D443">
        <v>23.9</v>
      </c>
      <c r="E443">
        <v>164</v>
      </c>
      <c r="F443">
        <v>88</v>
      </c>
      <c r="G443" t="s">
        <v>13</v>
      </c>
      <c r="H443" t="s">
        <v>14</v>
      </c>
      <c r="I443" t="s">
        <v>15</v>
      </c>
      <c r="J443" s="2">
        <v>3042.47</v>
      </c>
      <c r="K443" s="3">
        <v>45818</v>
      </c>
      <c r="L443" s="3">
        <v>45824</v>
      </c>
      <c r="M443" t="s">
        <v>16</v>
      </c>
      <c r="N443" t="str">
        <f>IF(Table1[[#This Row],[Age]]&lt;25,"&lt; 25",IF(Table1[[#This Row],[Age]]&lt;36,"25-35",IF(Table1[[#This Row],[Age]]&lt;51,"36-50",IF(Table1[[#This Row],[Age]]&lt;66,"51-65",IF(Table1[[#This Row],[Age]]&gt;65,"&gt;65","none")))))</f>
        <v>51-65</v>
      </c>
      <c r="O443" t="str">
        <f>IF(AND(Table1[[#This Row],[Smoker]]="Yes",Table1[[#This Row],[Diabetic]]="Yes"),"Yes","No")</f>
        <v>No</v>
      </c>
      <c r="P443" t="str">
        <f>IF(OR(Table1[[#This Row],[Smoker]]="Yes",Table1[[#This Row],[Diabetic]]="Yes"),"Yes","No")</f>
        <v>Yes</v>
      </c>
      <c r="Q443" s="1" t="str">
        <f>IF(OR(Table1[[#This Row],[Systolic]]&gt;125,Table1[[#This Row],[Diastolic]]&gt;90),"High","Normal")</f>
        <v>High</v>
      </c>
      <c r="R443" s="1">
        <f>Table1[[#This Row],[Discharge_Date]]-Table1[[#This Row],[Admission_Date]]</f>
        <v>6</v>
      </c>
      <c r="S443" s="1"/>
    </row>
    <row r="444" spans="1:19" x14ac:dyDescent="0.3">
      <c r="A444" t="s">
        <v>465</v>
      </c>
      <c r="B444">
        <v>71</v>
      </c>
      <c r="C444" t="s">
        <v>12</v>
      </c>
      <c r="D444">
        <v>27.7</v>
      </c>
      <c r="E444">
        <v>122</v>
      </c>
      <c r="F444">
        <v>66</v>
      </c>
      <c r="G444" t="s">
        <v>14</v>
      </c>
      <c r="H444" t="s">
        <v>14</v>
      </c>
      <c r="I444" t="s">
        <v>21</v>
      </c>
      <c r="J444" s="2">
        <v>2132.65</v>
      </c>
      <c r="K444" s="3">
        <v>45892</v>
      </c>
      <c r="L444" s="3">
        <v>45901</v>
      </c>
      <c r="M444" t="s">
        <v>19</v>
      </c>
      <c r="N444" t="str">
        <f>IF(Table1[[#This Row],[Age]]&lt;25,"&lt; 25",IF(Table1[[#This Row],[Age]]&lt;36,"25-35",IF(Table1[[#This Row],[Age]]&lt;51,"36-50",IF(Table1[[#This Row],[Age]]&lt;66,"51-65",IF(Table1[[#This Row],[Age]]&gt;65,"&gt;65","none")))))</f>
        <v>&gt;65</v>
      </c>
      <c r="O444" t="str">
        <f>IF(AND(Table1[[#This Row],[Smoker]]="Yes",Table1[[#This Row],[Diabetic]]="Yes"),"Yes","No")</f>
        <v>Yes</v>
      </c>
      <c r="P444" t="str">
        <f>IF(OR(Table1[[#This Row],[Smoker]]="Yes",Table1[[#This Row],[Diabetic]]="Yes"),"Yes","No")</f>
        <v>Yes</v>
      </c>
      <c r="Q444" s="1" t="str">
        <f>IF(OR(Table1[[#This Row],[Systolic]]&gt;125,Table1[[#This Row],[Diastolic]]&gt;90),"High","Normal")</f>
        <v>Normal</v>
      </c>
      <c r="R444" s="1">
        <f>Table1[[#This Row],[Discharge_Date]]-Table1[[#This Row],[Admission_Date]]</f>
        <v>9</v>
      </c>
      <c r="S444" s="1"/>
    </row>
    <row r="445" spans="1:19" x14ac:dyDescent="0.3">
      <c r="A445" t="s">
        <v>466</v>
      </c>
      <c r="B445">
        <v>87</v>
      </c>
      <c r="C445" t="s">
        <v>12</v>
      </c>
      <c r="D445">
        <v>21.4</v>
      </c>
      <c r="E445">
        <v>117</v>
      </c>
      <c r="F445">
        <v>80</v>
      </c>
      <c r="G445" t="s">
        <v>13</v>
      </c>
      <c r="H445" t="s">
        <v>13</v>
      </c>
      <c r="I445" t="s">
        <v>21</v>
      </c>
      <c r="J445" s="2">
        <v>2133.85</v>
      </c>
      <c r="K445" s="3">
        <v>45870</v>
      </c>
      <c r="L445" s="3">
        <v>45871</v>
      </c>
      <c r="M445" t="s">
        <v>16</v>
      </c>
      <c r="N445" t="str">
        <f>IF(Table1[[#This Row],[Age]]&lt;25,"&lt; 25",IF(Table1[[#This Row],[Age]]&lt;36,"25-35",IF(Table1[[#This Row],[Age]]&lt;51,"36-50",IF(Table1[[#This Row],[Age]]&lt;66,"51-65",IF(Table1[[#This Row],[Age]]&gt;65,"&gt;65","none")))))</f>
        <v>&gt;65</v>
      </c>
      <c r="O445" t="str">
        <f>IF(AND(Table1[[#This Row],[Smoker]]="Yes",Table1[[#This Row],[Diabetic]]="Yes"),"Yes","No")</f>
        <v>No</v>
      </c>
      <c r="P445" t="str">
        <f>IF(OR(Table1[[#This Row],[Smoker]]="Yes",Table1[[#This Row],[Diabetic]]="Yes"),"Yes","No")</f>
        <v>No</v>
      </c>
      <c r="Q445" s="1" t="str">
        <f>IF(OR(Table1[[#This Row],[Systolic]]&gt;125,Table1[[#This Row],[Diastolic]]&gt;90),"High","Normal")</f>
        <v>Normal</v>
      </c>
      <c r="R445" s="1">
        <f>Table1[[#This Row],[Discharge_Date]]-Table1[[#This Row],[Admission_Date]]</f>
        <v>1</v>
      </c>
      <c r="S445" s="1"/>
    </row>
    <row r="446" spans="1:19" x14ac:dyDescent="0.3">
      <c r="A446" t="s">
        <v>467</v>
      </c>
      <c r="B446">
        <v>75</v>
      </c>
      <c r="C446" t="s">
        <v>18</v>
      </c>
      <c r="D446">
        <v>27.5</v>
      </c>
      <c r="E446">
        <v>147</v>
      </c>
      <c r="F446">
        <v>112</v>
      </c>
      <c r="G446" t="s">
        <v>13</v>
      </c>
      <c r="H446" t="s">
        <v>14</v>
      </c>
      <c r="I446" t="s">
        <v>15</v>
      </c>
      <c r="J446" s="2">
        <v>181.09</v>
      </c>
      <c r="K446" s="3">
        <v>45904</v>
      </c>
      <c r="L446" s="3">
        <v>45918</v>
      </c>
      <c r="M446" t="s">
        <v>23</v>
      </c>
      <c r="N446" t="str">
        <f>IF(Table1[[#This Row],[Age]]&lt;25,"&lt; 25",IF(Table1[[#This Row],[Age]]&lt;36,"25-35",IF(Table1[[#This Row],[Age]]&lt;51,"36-50",IF(Table1[[#This Row],[Age]]&lt;66,"51-65",IF(Table1[[#This Row],[Age]]&gt;65,"&gt;65","none")))))</f>
        <v>&gt;65</v>
      </c>
      <c r="O446" t="str">
        <f>IF(AND(Table1[[#This Row],[Smoker]]="Yes",Table1[[#This Row],[Diabetic]]="Yes"),"Yes","No")</f>
        <v>No</v>
      </c>
      <c r="P446" t="str">
        <f>IF(OR(Table1[[#This Row],[Smoker]]="Yes",Table1[[#This Row],[Diabetic]]="Yes"),"Yes","No")</f>
        <v>Yes</v>
      </c>
      <c r="Q446" s="1" t="str">
        <f>IF(OR(Table1[[#This Row],[Systolic]]&gt;125,Table1[[#This Row],[Diastolic]]&gt;90),"High","Normal")</f>
        <v>High</v>
      </c>
      <c r="R446" s="1">
        <f>Table1[[#This Row],[Discharge_Date]]-Table1[[#This Row],[Admission_Date]]</f>
        <v>14</v>
      </c>
      <c r="S446" s="1"/>
    </row>
    <row r="447" spans="1:19" x14ac:dyDescent="0.3">
      <c r="A447" t="s">
        <v>468</v>
      </c>
      <c r="B447">
        <v>21</v>
      </c>
      <c r="C447" t="s">
        <v>12</v>
      </c>
      <c r="D447">
        <v>34.799999999999997</v>
      </c>
      <c r="E447">
        <v>180</v>
      </c>
      <c r="F447">
        <v>70</v>
      </c>
      <c r="G447" t="s">
        <v>13</v>
      </c>
      <c r="H447" t="s">
        <v>13</v>
      </c>
      <c r="I447" t="s">
        <v>32</v>
      </c>
      <c r="J447" s="2">
        <v>861.07</v>
      </c>
      <c r="K447" s="3">
        <v>45837</v>
      </c>
      <c r="L447" s="3">
        <v>45840</v>
      </c>
      <c r="M447" t="s">
        <v>19</v>
      </c>
      <c r="N447" t="str">
        <f>IF(Table1[[#This Row],[Age]]&lt;25,"&lt; 25",IF(Table1[[#This Row],[Age]]&lt;36,"25-35",IF(Table1[[#This Row],[Age]]&lt;51,"36-50",IF(Table1[[#This Row],[Age]]&lt;66,"51-65",IF(Table1[[#This Row],[Age]]&gt;65,"&gt;65","none")))))</f>
        <v>&lt; 25</v>
      </c>
      <c r="O447" t="str">
        <f>IF(AND(Table1[[#This Row],[Smoker]]="Yes",Table1[[#This Row],[Diabetic]]="Yes"),"Yes","No")</f>
        <v>No</v>
      </c>
      <c r="P447" t="str">
        <f>IF(OR(Table1[[#This Row],[Smoker]]="Yes",Table1[[#This Row],[Diabetic]]="Yes"),"Yes","No")</f>
        <v>No</v>
      </c>
      <c r="Q447" s="1" t="str">
        <f>IF(OR(Table1[[#This Row],[Systolic]]&gt;125,Table1[[#This Row],[Diastolic]]&gt;90),"High","Normal")</f>
        <v>High</v>
      </c>
      <c r="R447" s="1">
        <f>Table1[[#This Row],[Discharge_Date]]-Table1[[#This Row],[Admission_Date]]</f>
        <v>3</v>
      </c>
      <c r="S447" s="1"/>
    </row>
    <row r="448" spans="1:19" x14ac:dyDescent="0.3">
      <c r="A448" t="s">
        <v>469</v>
      </c>
      <c r="B448">
        <v>71</v>
      </c>
      <c r="C448" t="s">
        <v>12</v>
      </c>
      <c r="D448">
        <v>21.2</v>
      </c>
      <c r="E448">
        <v>110</v>
      </c>
      <c r="F448">
        <v>104</v>
      </c>
      <c r="G448" t="s">
        <v>14</v>
      </c>
      <c r="H448" t="s">
        <v>14</v>
      </c>
      <c r="I448" t="s">
        <v>25</v>
      </c>
      <c r="J448" s="2">
        <v>2307.23</v>
      </c>
      <c r="K448" s="3">
        <v>45587</v>
      </c>
      <c r="L448" s="3">
        <v>45600</v>
      </c>
      <c r="M448" t="s">
        <v>19</v>
      </c>
      <c r="N448" t="str">
        <f>IF(Table1[[#This Row],[Age]]&lt;25,"&lt; 25",IF(Table1[[#This Row],[Age]]&lt;36,"25-35",IF(Table1[[#This Row],[Age]]&lt;51,"36-50",IF(Table1[[#This Row],[Age]]&lt;66,"51-65",IF(Table1[[#This Row],[Age]]&gt;65,"&gt;65","none")))))</f>
        <v>&gt;65</v>
      </c>
      <c r="O448" t="str">
        <f>IF(AND(Table1[[#This Row],[Smoker]]="Yes",Table1[[#This Row],[Diabetic]]="Yes"),"Yes","No")</f>
        <v>Yes</v>
      </c>
      <c r="P448" t="str">
        <f>IF(OR(Table1[[#This Row],[Smoker]]="Yes",Table1[[#This Row],[Diabetic]]="Yes"),"Yes","No")</f>
        <v>Yes</v>
      </c>
      <c r="Q448" s="1" t="str">
        <f>IF(OR(Table1[[#This Row],[Systolic]]&gt;125,Table1[[#This Row],[Diastolic]]&gt;90),"High","Normal")</f>
        <v>High</v>
      </c>
      <c r="R448" s="1">
        <f>Table1[[#This Row],[Discharge_Date]]-Table1[[#This Row],[Admission_Date]]</f>
        <v>13</v>
      </c>
      <c r="S448" s="1"/>
    </row>
    <row r="449" spans="1:19" x14ac:dyDescent="0.3">
      <c r="A449" t="s">
        <v>470</v>
      </c>
      <c r="B449">
        <v>56</v>
      </c>
      <c r="C449" t="s">
        <v>12</v>
      </c>
      <c r="D449">
        <v>27.6</v>
      </c>
      <c r="E449">
        <v>111</v>
      </c>
      <c r="F449">
        <v>91</v>
      </c>
      <c r="G449" t="s">
        <v>13</v>
      </c>
      <c r="H449" t="s">
        <v>13</v>
      </c>
      <c r="I449" t="s">
        <v>32</v>
      </c>
      <c r="J449" s="2">
        <v>325.98</v>
      </c>
      <c r="K449" s="3">
        <v>45710</v>
      </c>
      <c r="L449" s="3">
        <v>45719</v>
      </c>
      <c r="M449" t="s">
        <v>16</v>
      </c>
      <c r="N449" t="str">
        <f>IF(Table1[[#This Row],[Age]]&lt;25,"&lt; 25",IF(Table1[[#This Row],[Age]]&lt;36,"25-35",IF(Table1[[#This Row],[Age]]&lt;51,"36-50",IF(Table1[[#This Row],[Age]]&lt;66,"51-65",IF(Table1[[#This Row],[Age]]&gt;65,"&gt;65","none")))))</f>
        <v>51-65</v>
      </c>
      <c r="O449" t="str">
        <f>IF(AND(Table1[[#This Row],[Smoker]]="Yes",Table1[[#This Row],[Diabetic]]="Yes"),"Yes","No")</f>
        <v>No</v>
      </c>
      <c r="P449" t="str">
        <f>IF(OR(Table1[[#This Row],[Smoker]]="Yes",Table1[[#This Row],[Diabetic]]="Yes"),"Yes","No")</f>
        <v>No</v>
      </c>
      <c r="Q449" s="1" t="str">
        <f>IF(OR(Table1[[#This Row],[Systolic]]&gt;125,Table1[[#This Row],[Diastolic]]&gt;90),"High","Normal")</f>
        <v>High</v>
      </c>
      <c r="R449" s="1">
        <f>Table1[[#This Row],[Discharge_Date]]-Table1[[#This Row],[Admission_Date]]</f>
        <v>9</v>
      </c>
      <c r="S449" s="1"/>
    </row>
    <row r="450" spans="1:19" x14ac:dyDescent="0.3">
      <c r="A450" t="s">
        <v>471</v>
      </c>
      <c r="B450">
        <v>82</v>
      </c>
      <c r="C450" t="s">
        <v>12</v>
      </c>
      <c r="D450">
        <v>21.9</v>
      </c>
      <c r="E450">
        <v>160</v>
      </c>
      <c r="F450">
        <v>111</v>
      </c>
      <c r="G450" t="s">
        <v>14</v>
      </c>
      <c r="H450" t="s">
        <v>14</v>
      </c>
      <c r="I450" t="s">
        <v>21</v>
      </c>
      <c r="J450" s="2">
        <v>4802.75</v>
      </c>
      <c r="K450" s="3">
        <v>45721</v>
      </c>
      <c r="L450" s="3">
        <v>45723</v>
      </c>
      <c r="M450" t="s">
        <v>23</v>
      </c>
      <c r="N450" t="str">
        <f>IF(Table1[[#This Row],[Age]]&lt;25,"&lt; 25",IF(Table1[[#This Row],[Age]]&lt;36,"25-35",IF(Table1[[#This Row],[Age]]&lt;51,"36-50",IF(Table1[[#This Row],[Age]]&lt;66,"51-65",IF(Table1[[#This Row],[Age]]&gt;65,"&gt;65","none")))))</f>
        <v>&gt;65</v>
      </c>
      <c r="O450" t="str">
        <f>IF(AND(Table1[[#This Row],[Smoker]]="Yes",Table1[[#This Row],[Diabetic]]="Yes"),"Yes","No")</f>
        <v>Yes</v>
      </c>
      <c r="P450" t="str">
        <f>IF(OR(Table1[[#This Row],[Smoker]]="Yes",Table1[[#This Row],[Diabetic]]="Yes"),"Yes","No")</f>
        <v>Yes</v>
      </c>
      <c r="Q450" s="1" t="str">
        <f>IF(OR(Table1[[#This Row],[Systolic]]&gt;125,Table1[[#This Row],[Diastolic]]&gt;90),"High","Normal")</f>
        <v>High</v>
      </c>
      <c r="R450" s="1">
        <f>Table1[[#This Row],[Discharge_Date]]-Table1[[#This Row],[Admission_Date]]</f>
        <v>2</v>
      </c>
      <c r="S450" s="1"/>
    </row>
    <row r="451" spans="1:19" x14ac:dyDescent="0.3">
      <c r="A451" t="s">
        <v>472</v>
      </c>
      <c r="B451">
        <v>56</v>
      </c>
      <c r="C451" t="s">
        <v>18</v>
      </c>
      <c r="D451">
        <v>18.100000000000001</v>
      </c>
      <c r="E451">
        <v>150</v>
      </c>
      <c r="F451">
        <v>89</v>
      </c>
      <c r="G451" t="s">
        <v>13</v>
      </c>
      <c r="H451" t="s">
        <v>14</v>
      </c>
      <c r="I451" t="s">
        <v>32</v>
      </c>
      <c r="J451" s="2">
        <v>2232.9499999999998</v>
      </c>
      <c r="K451" s="3">
        <v>45586</v>
      </c>
      <c r="L451" s="3">
        <v>45597</v>
      </c>
      <c r="M451" t="s">
        <v>16</v>
      </c>
      <c r="N451" t="str">
        <f>IF(Table1[[#This Row],[Age]]&lt;25,"&lt; 25",IF(Table1[[#This Row],[Age]]&lt;36,"25-35",IF(Table1[[#This Row],[Age]]&lt;51,"36-50",IF(Table1[[#This Row],[Age]]&lt;66,"51-65",IF(Table1[[#This Row],[Age]]&gt;65,"&gt;65","none")))))</f>
        <v>51-65</v>
      </c>
      <c r="O451" t="str">
        <f>IF(AND(Table1[[#This Row],[Smoker]]="Yes",Table1[[#This Row],[Diabetic]]="Yes"),"Yes","No")</f>
        <v>No</v>
      </c>
      <c r="P451" t="str">
        <f>IF(OR(Table1[[#This Row],[Smoker]]="Yes",Table1[[#This Row],[Diabetic]]="Yes"),"Yes","No")</f>
        <v>Yes</v>
      </c>
      <c r="Q451" s="1" t="str">
        <f>IF(OR(Table1[[#This Row],[Systolic]]&gt;125,Table1[[#This Row],[Diastolic]]&gt;90),"High","Normal")</f>
        <v>High</v>
      </c>
      <c r="R451" s="1">
        <f>Table1[[#This Row],[Discharge_Date]]-Table1[[#This Row],[Admission_Date]]</f>
        <v>11</v>
      </c>
      <c r="S451" s="1"/>
    </row>
    <row r="452" spans="1:19" x14ac:dyDescent="0.3">
      <c r="A452" t="s">
        <v>473</v>
      </c>
      <c r="B452">
        <v>53</v>
      </c>
      <c r="C452" t="s">
        <v>12</v>
      </c>
      <c r="D452">
        <v>34</v>
      </c>
      <c r="E452">
        <v>117</v>
      </c>
      <c r="F452">
        <v>90</v>
      </c>
      <c r="G452" t="s">
        <v>14</v>
      </c>
      <c r="H452" t="s">
        <v>14</v>
      </c>
      <c r="I452" t="s">
        <v>21</v>
      </c>
      <c r="J452" s="2">
        <v>158.84</v>
      </c>
      <c r="K452" s="3">
        <v>45814</v>
      </c>
      <c r="L452" s="3">
        <v>45824</v>
      </c>
      <c r="M452" t="s">
        <v>16</v>
      </c>
      <c r="N452" t="str">
        <f>IF(Table1[[#This Row],[Age]]&lt;25,"&lt; 25",IF(Table1[[#This Row],[Age]]&lt;36,"25-35",IF(Table1[[#This Row],[Age]]&lt;51,"36-50",IF(Table1[[#This Row],[Age]]&lt;66,"51-65",IF(Table1[[#This Row],[Age]]&gt;65,"&gt;65","none")))))</f>
        <v>51-65</v>
      </c>
      <c r="O452" t="str">
        <f>IF(AND(Table1[[#This Row],[Smoker]]="Yes",Table1[[#This Row],[Diabetic]]="Yes"),"Yes","No")</f>
        <v>Yes</v>
      </c>
      <c r="P452" t="str">
        <f>IF(OR(Table1[[#This Row],[Smoker]]="Yes",Table1[[#This Row],[Diabetic]]="Yes"),"Yes","No")</f>
        <v>Yes</v>
      </c>
      <c r="Q452" s="1" t="str">
        <f>IF(OR(Table1[[#This Row],[Systolic]]&gt;125,Table1[[#This Row],[Diastolic]]&gt;90),"High","Normal")</f>
        <v>Normal</v>
      </c>
      <c r="R452" s="1">
        <f>Table1[[#This Row],[Discharge_Date]]-Table1[[#This Row],[Admission_Date]]</f>
        <v>10</v>
      </c>
      <c r="S452" s="1"/>
    </row>
    <row r="453" spans="1:19" x14ac:dyDescent="0.3">
      <c r="A453" t="s">
        <v>474</v>
      </c>
      <c r="B453">
        <v>60</v>
      </c>
      <c r="C453" t="s">
        <v>18</v>
      </c>
      <c r="D453">
        <v>37.200000000000003</v>
      </c>
      <c r="E453">
        <v>108</v>
      </c>
      <c r="F453">
        <v>75</v>
      </c>
      <c r="G453" t="s">
        <v>14</v>
      </c>
      <c r="H453" t="s">
        <v>13</v>
      </c>
      <c r="I453" t="s">
        <v>15</v>
      </c>
      <c r="J453" s="2">
        <v>2556.94</v>
      </c>
      <c r="K453" s="3">
        <v>45680</v>
      </c>
      <c r="L453" s="3">
        <v>45691</v>
      </c>
      <c r="M453" t="s">
        <v>23</v>
      </c>
      <c r="N453" t="str">
        <f>IF(Table1[[#This Row],[Age]]&lt;25,"&lt; 25",IF(Table1[[#This Row],[Age]]&lt;36,"25-35",IF(Table1[[#This Row],[Age]]&lt;51,"36-50",IF(Table1[[#This Row],[Age]]&lt;66,"51-65",IF(Table1[[#This Row],[Age]]&gt;65,"&gt;65","none")))))</f>
        <v>51-65</v>
      </c>
      <c r="O453" t="str">
        <f>IF(AND(Table1[[#This Row],[Smoker]]="Yes",Table1[[#This Row],[Diabetic]]="Yes"),"Yes","No")</f>
        <v>No</v>
      </c>
      <c r="P453" t="str">
        <f>IF(OR(Table1[[#This Row],[Smoker]]="Yes",Table1[[#This Row],[Diabetic]]="Yes"),"Yes","No")</f>
        <v>Yes</v>
      </c>
      <c r="Q453" s="1" t="str">
        <f>IF(OR(Table1[[#This Row],[Systolic]]&gt;125,Table1[[#This Row],[Diastolic]]&gt;90),"High","Normal")</f>
        <v>Normal</v>
      </c>
      <c r="R453" s="1">
        <f>Table1[[#This Row],[Discharge_Date]]-Table1[[#This Row],[Admission_Date]]</f>
        <v>11</v>
      </c>
      <c r="S453" s="1"/>
    </row>
    <row r="454" spans="1:19" x14ac:dyDescent="0.3">
      <c r="A454" t="s">
        <v>475</v>
      </c>
      <c r="B454">
        <v>31</v>
      </c>
      <c r="C454" t="s">
        <v>12</v>
      </c>
      <c r="D454">
        <v>18.2</v>
      </c>
      <c r="E454">
        <v>110</v>
      </c>
      <c r="F454">
        <v>117</v>
      </c>
      <c r="G454" t="s">
        <v>13</v>
      </c>
      <c r="H454" t="s">
        <v>13</v>
      </c>
      <c r="I454" t="s">
        <v>25</v>
      </c>
      <c r="J454" s="2">
        <v>2940.48</v>
      </c>
      <c r="K454" s="3">
        <v>45739</v>
      </c>
      <c r="L454" s="3">
        <v>45745</v>
      </c>
      <c r="M454" t="s">
        <v>19</v>
      </c>
      <c r="N454" t="str">
        <f>IF(Table1[[#This Row],[Age]]&lt;25,"&lt; 25",IF(Table1[[#This Row],[Age]]&lt;36,"25-35",IF(Table1[[#This Row],[Age]]&lt;51,"36-50",IF(Table1[[#This Row],[Age]]&lt;66,"51-65",IF(Table1[[#This Row],[Age]]&gt;65,"&gt;65","none")))))</f>
        <v>25-35</v>
      </c>
      <c r="O454" t="str">
        <f>IF(AND(Table1[[#This Row],[Smoker]]="Yes",Table1[[#This Row],[Diabetic]]="Yes"),"Yes","No")</f>
        <v>No</v>
      </c>
      <c r="P454" t="str">
        <f>IF(OR(Table1[[#This Row],[Smoker]]="Yes",Table1[[#This Row],[Diabetic]]="Yes"),"Yes","No")</f>
        <v>No</v>
      </c>
      <c r="Q454" s="1" t="str">
        <f>IF(OR(Table1[[#This Row],[Systolic]]&gt;125,Table1[[#This Row],[Diastolic]]&gt;90),"High","Normal")</f>
        <v>High</v>
      </c>
      <c r="R454" s="1">
        <f>Table1[[#This Row],[Discharge_Date]]-Table1[[#This Row],[Admission_Date]]</f>
        <v>6</v>
      </c>
      <c r="S454" s="1"/>
    </row>
    <row r="455" spans="1:19" x14ac:dyDescent="0.3">
      <c r="A455" t="s">
        <v>476</v>
      </c>
      <c r="B455">
        <v>65</v>
      </c>
      <c r="C455" t="s">
        <v>18</v>
      </c>
      <c r="D455">
        <v>18.899999999999999</v>
      </c>
      <c r="E455">
        <v>104</v>
      </c>
      <c r="F455">
        <v>94</v>
      </c>
      <c r="G455" t="s">
        <v>14</v>
      </c>
      <c r="H455" t="s">
        <v>14</v>
      </c>
      <c r="I455" t="s">
        <v>21</v>
      </c>
      <c r="J455" s="2">
        <v>1376.99</v>
      </c>
      <c r="K455" s="3">
        <v>45770</v>
      </c>
      <c r="L455" s="3">
        <v>45779</v>
      </c>
      <c r="M455" t="s">
        <v>16</v>
      </c>
      <c r="N455" t="str">
        <f>IF(Table1[[#This Row],[Age]]&lt;25,"&lt; 25",IF(Table1[[#This Row],[Age]]&lt;36,"25-35",IF(Table1[[#This Row],[Age]]&lt;51,"36-50",IF(Table1[[#This Row],[Age]]&lt;66,"51-65",IF(Table1[[#This Row],[Age]]&gt;65,"&gt;65","none")))))</f>
        <v>51-65</v>
      </c>
      <c r="O455" t="str">
        <f>IF(AND(Table1[[#This Row],[Smoker]]="Yes",Table1[[#This Row],[Diabetic]]="Yes"),"Yes","No")</f>
        <v>Yes</v>
      </c>
      <c r="P455" t="str">
        <f>IF(OR(Table1[[#This Row],[Smoker]]="Yes",Table1[[#This Row],[Diabetic]]="Yes"),"Yes","No")</f>
        <v>Yes</v>
      </c>
      <c r="Q455" s="1" t="str">
        <f>IF(OR(Table1[[#This Row],[Systolic]]&gt;125,Table1[[#This Row],[Diastolic]]&gt;90),"High","Normal")</f>
        <v>High</v>
      </c>
      <c r="R455" s="1">
        <f>Table1[[#This Row],[Discharge_Date]]-Table1[[#This Row],[Admission_Date]]</f>
        <v>9</v>
      </c>
      <c r="S455" s="1"/>
    </row>
    <row r="456" spans="1:19" x14ac:dyDescent="0.3">
      <c r="A456" t="s">
        <v>477</v>
      </c>
      <c r="B456">
        <v>39</v>
      </c>
      <c r="C456" t="s">
        <v>18</v>
      </c>
      <c r="D456">
        <v>29.4</v>
      </c>
      <c r="E456">
        <v>150</v>
      </c>
      <c r="F456">
        <v>67</v>
      </c>
      <c r="G456" t="s">
        <v>13</v>
      </c>
      <c r="H456" t="s">
        <v>13</v>
      </c>
      <c r="I456" t="s">
        <v>32</v>
      </c>
      <c r="J456" s="2">
        <v>4871.68</v>
      </c>
      <c r="K456" s="3">
        <v>45611</v>
      </c>
      <c r="L456" s="3">
        <v>45612</v>
      </c>
      <c r="M456" t="s">
        <v>19</v>
      </c>
      <c r="N456" t="str">
        <f>IF(Table1[[#This Row],[Age]]&lt;25,"&lt; 25",IF(Table1[[#This Row],[Age]]&lt;36,"25-35",IF(Table1[[#This Row],[Age]]&lt;51,"36-50",IF(Table1[[#This Row],[Age]]&lt;66,"51-65",IF(Table1[[#This Row],[Age]]&gt;65,"&gt;65","none")))))</f>
        <v>36-50</v>
      </c>
      <c r="O456" t="str">
        <f>IF(AND(Table1[[#This Row],[Smoker]]="Yes",Table1[[#This Row],[Diabetic]]="Yes"),"Yes","No")</f>
        <v>No</v>
      </c>
      <c r="P456" t="str">
        <f>IF(OR(Table1[[#This Row],[Smoker]]="Yes",Table1[[#This Row],[Diabetic]]="Yes"),"Yes","No")</f>
        <v>No</v>
      </c>
      <c r="Q456" s="1" t="str">
        <f>IF(OR(Table1[[#This Row],[Systolic]]&gt;125,Table1[[#This Row],[Diastolic]]&gt;90),"High","Normal")</f>
        <v>High</v>
      </c>
      <c r="R456" s="1">
        <f>Table1[[#This Row],[Discharge_Date]]-Table1[[#This Row],[Admission_Date]]</f>
        <v>1</v>
      </c>
      <c r="S456" s="1"/>
    </row>
    <row r="457" spans="1:19" x14ac:dyDescent="0.3">
      <c r="A457" t="s">
        <v>478</v>
      </c>
      <c r="B457">
        <v>57</v>
      </c>
      <c r="C457" t="s">
        <v>18</v>
      </c>
      <c r="D457">
        <v>24.5</v>
      </c>
      <c r="E457">
        <v>149</v>
      </c>
      <c r="F457">
        <v>79</v>
      </c>
      <c r="G457" t="s">
        <v>13</v>
      </c>
      <c r="H457" t="s">
        <v>13</v>
      </c>
      <c r="I457" t="s">
        <v>21</v>
      </c>
      <c r="J457" s="2">
        <v>2645.45</v>
      </c>
      <c r="K457" s="3">
        <v>45741</v>
      </c>
      <c r="L457" s="3">
        <v>45755</v>
      </c>
      <c r="M457" t="s">
        <v>23</v>
      </c>
      <c r="N457" t="str">
        <f>IF(Table1[[#This Row],[Age]]&lt;25,"&lt; 25",IF(Table1[[#This Row],[Age]]&lt;36,"25-35",IF(Table1[[#This Row],[Age]]&lt;51,"36-50",IF(Table1[[#This Row],[Age]]&lt;66,"51-65",IF(Table1[[#This Row],[Age]]&gt;65,"&gt;65","none")))))</f>
        <v>51-65</v>
      </c>
      <c r="O457" t="str">
        <f>IF(AND(Table1[[#This Row],[Smoker]]="Yes",Table1[[#This Row],[Diabetic]]="Yes"),"Yes","No")</f>
        <v>No</v>
      </c>
      <c r="P457" t="str">
        <f>IF(OR(Table1[[#This Row],[Smoker]]="Yes",Table1[[#This Row],[Diabetic]]="Yes"),"Yes","No")</f>
        <v>No</v>
      </c>
      <c r="Q457" s="1" t="str">
        <f>IF(OR(Table1[[#This Row],[Systolic]]&gt;125,Table1[[#This Row],[Diastolic]]&gt;90),"High","Normal")</f>
        <v>High</v>
      </c>
      <c r="R457" s="1">
        <f>Table1[[#This Row],[Discharge_Date]]-Table1[[#This Row],[Admission_Date]]</f>
        <v>14</v>
      </c>
      <c r="S457" s="1"/>
    </row>
    <row r="458" spans="1:19" x14ac:dyDescent="0.3">
      <c r="A458" t="s">
        <v>479</v>
      </c>
      <c r="B458">
        <v>81</v>
      </c>
      <c r="C458" t="s">
        <v>12</v>
      </c>
      <c r="D458">
        <v>31.1</v>
      </c>
      <c r="E458">
        <v>135</v>
      </c>
      <c r="F458">
        <v>90</v>
      </c>
      <c r="G458" t="s">
        <v>14</v>
      </c>
      <c r="H458" t="s">
        <v>13</v>
      </c>
      <c r="I458" t="s">
        <v>21</v>
      </c>
      <c r="J458" s="2">
        <v>2177.31</v>
      </c>
      <c r="K458" s="3">
        <v>45869</v>
      </c>
      <c r="L458" s="3">
        <v>45870</v>
      </c>
      <c r="M458" t="s">
        <v>23</v>
      </c>
      <c r="N458" t="str">
        <f>IF(Table1[[#This Row],[Age]]&lt;25,"&lt; 25",IF(Table1[[#This Row],[Age]]&lt;36,"25-35",IF(Table1[[#This Row],[Age]]&lt;51,"36-50",IF(Table1[[#This Row],[Age]]&lt;66,"51-65",IF(Table1[[#This Row],[Age]]&gt;65,"&gt;65","none")))))</f>
        <v>&gt;65</v>
      </c>
      <c r="O458" t="str">
        <f>IF(AND(Table1[[#This Row],[Smoker]]="Yes",Table1[[#This Row],[Diabetic]]="Yes"),"Yes","No")</f>
        <v>No</v>
      </c>
      <c r="P458" t="str">
        <f>IF(OR(Table1[[#This Row],[Smoker]]="Yes",Table1[[#This Row],[Diabetic]]="Yes"),"Yes","No")</f>
        <v>Yes</v>
      </c>
      <c r="Q458" s="1" t="str">
        <f>IF(OR(Table1[[#This Row],[Systolic]]&gt;125,Table1[[#This Row],[Diastolic]]&gt;90),"High","Normal")</f>
        <v>High</v>
      </c>
      <c r="R458" s="1">
        <f>Table1[[#This Row],[Discharge_Date]]-Table1[[#This Row],[Admission_Date]]</f>
        <v>1</v>
      </c>
      <c r="S458" s="1"/>
    </row>
    <row r="459" spans="1:19" x14ac:dyDescent="0.3">
      <c r="A459" t="s">
        <v>480</v>
      </c>
      <c r="B459">
        <v>80</v>
      </c>
      <c r="C459" t="s">
        <v>18</v>
      </c>
      <c r="D459">
        <v>36.799999999999997</v>
      </c>
      <c r="E459">
        <v>96</v>
      </c>
      <c r="F459">
        <v>98</v>
      </c>
      <c r="G459" t="s">
        <v>13</v>
      </c>
      <c r="H459" t="s">
        <v>13</v>
      </c>
      <c r="I459" t="s">
        <v>34</v>
      </c>
      <c r="J459" s="2">
        <v>1843.86</v>
      </c>
      <c r="K459" s="3">
        <v>45767</v>
      </c>
      <c r="L459" s="3">
        <v>45781</v>
      </c>
      <c r="M459" t="s">
        <v>16</v>
      </c>
      <c r="N459" t="str">
        <f>IF(Table1[[#This Row],[Age]]&lt;25,"&lt; 25",IF(Table1[[#This Row],[Age]]&lt;36,"25-35",IF(Table1[[#This Row],[Age]]&lt;51,"36-50",IF(Table1[[#This Row],[Age]]&lt;66,"51-65",IF(Table1[[#This Row],[Age]]&gt;65,"&gt;65","none")))))</f>
        <v>&gt;65</v>
      </c>
      <c r="O459" t="str">
        <f>IF(AND(Table1[[#This Row],[Smoker]]="Yes",Table1[[#This Row],[Diabetic]]="Yes"),"Yes","No")</f>
        <v>No</v>
      </c>
      <c r="P459" t="str">
        <f>IF(OR(Table1[[#This Row],[Smoker]]="Yes",Table1[[#This Row],[Diabetic]]="Yes"),"Yes","No")</f>
        <v>No</v>
      </c>
      <c r="Q459" s="1" t="str">
        <f>IF(OR(Table1[[#This Row],[Systolic]]&gt;125,Table1[[#This Row],[Diastolic]]&gt;90),"High","Normal")</f>
        <v>High</v>
      </c>
      <c r="R459" s="1">
        <f>Table1[[#This Row],[Discharge_Date]]-Table1[[#This Row],[Admission_Date]]</f>
        <v>14</v>
      </c>
      <c r="S459" s="1"/>
    </row>
    <row r="460" spans="1:19" x14ac:dyDescent="0.3">
      <c r="A460" t="s">
        <v>481</v>
      </c>
      <c r="B460">
        <v>87</v>
      </c>
      <c r="C460" t="s">
        <v>12</v>
      </c>
      <c r="D460">
        <v>36.200000000000003</v>
      </c>
      <c r="E460">
        <v>170</v>
      </c>
      <c r="F460">
        <v>68</v>
      </c>
      <c r="G460" t="s">
        <v>14</v>
      </c>
      <c r="H460" t="s">
        <v>13</v>
      </c>
      <c r="I460" t="s">
        <v>15</v>
      </c>
      <c r="J460" s="2">
        <v>3765.15</v>
      </c>
      <c r="K460" s="3">
        <v>45912</v>
      </c>
      <c r="L460" s="3">
        <v>45924</v>
      </c>
      <c r="M460" t="s">
        <v>23</v>
      </c>
      <c r="N460" t="str">
        <f>IF(Table1[[#This Row],[Age]]&lt;25,"&lt; 25",IF(Table1[[#This Row],[Age]]&lt;36,"25-35",IF(Table1[[#This Row],[Age]]&lt;51,"36-50",IF(Table1[[#This Row],[Age]]&lt;66,"51-65",IF(Table1[[#This Row],[Age]]&gt;65,"&gt;65","none")))))</f>
        <v>&gt;65</v>
      </c>
      <c r="O460" t="str">
        <f>IF(AND(Table1[[#This Row],[Smoker]]="Yes",Table1[[#This Row],[Diabetic]]="Yes"),"Yes","No")</f>
        <v>No</v>
      </c>
      <c r="P460" t="str">
        <f>IF(OR(Table1[[#This Row],[Smoker]]="Yes",Table1[[#This Row],[Diabetic]]="Yes"),"Yes","No")</f>
        <v>Yes</v>
      </c>
      <c r="Q460" s="1" t="str">
        <f>IF(OR(Table1[[#This Row],[Systolic]]&gt;125,Table1[[#This Row],[Diastolic]]&gt;90),"High","Normal")</f>
        <v>High</v>
      </c>
      <c r="R460" s="1">
        <f>Table1[[#This Row],[Discharge_Date]]-Table1[[#This Row],[Admission_Date]]</f>
        <v>12</v>
      </c>
      <c r="S460" s="1"/>
    </row>
    <row r="461" spans="1:19" x14ac:dyDescent="0.3">
      <c r="A461" t="s">
        <v>482</v>
      </c>
      <c r="B461">
        <v>43</v>
      </c>
      <c r="C461" t="s">
        <v>12</v>
      </c>
      <c r="D461">
        <v>31.3</v>
      </c>
      <c r="E461">
        <v>111</v>
      </c>
      <c r="F461">
        <v>83</v>
      </c>
      <c r="G461" t="s">
        <v>14</v>
      </c>
      <c r="H461" t="s">
        <v>13</v>
      </c>
      <c r="I461" t="s">
        <v>34</v>
      </c>
      <c r="J461" s="2">
        <v>4989.45</v>
      </c>
      <c r="K461" s="3">
        <v>45648</v>
      </c>
      <c r="L461" s="3">
        <v>45652</v>
      </c>
      <c r="M461" t="s">
        <v>23</v>
      </c>
      <c r="N461" t="str">
        <f>IF(Table1[[#This Row],[Age]]&lt;25,"&lt; 25",IF(Table1[[#This Row],[Age]]&lt;36,"25-35",IF(Table1[[#This Row],[Age]]&lt;51,"36-50",IF(Table1[[#This Row],[Age]]&lt;66,"51-65",IF(Table1[[#This Row],[Age]]&gt;65,"&gt;65","none")))))</f>
        <v>36-50</v>
      </c>
      <c r="O461" t="str">
        <f>IF(AND(Table1[[#This Row],[Smoker]]="Yes",Table1[[#This Row],[Diabetic]]="Yes"),"Yes","No")</f>
        <v>No</v>
      </c>
      <c r="P461" t="str">
        <f>IF(OR(Table1[[#This Row],[Smoker]]="Yes",Table1[[#This Row],[Diabetic]]="Yes"),"Yes","No")</f>
        <v>Yes</v>
      </c>
      <c r="Q461" s="1" t="str">
        <f>IF(OR(Table1[[#This Row],[Systolic]]&gt;125,Table1[[#This Row],[Diastolic]]&gt;90),"High","Normal")</f>
        <v>Normal</v>
      </c>
      <c r="R461" s="1">
        <f>Table1[[#This Row],[Discharge_Date]]-Table1[[#This Row],[Admission_Date]]</f>
        <v>4</v>
      </c>
      <c r="S461" s="1"/>
    </row>
    <row r="462" spans="1:19" x14ac:dyDescent="0.3">
      <c r="A462" t="s">
        <v>483</v>
      </c>
      <c r="B462">
        <v>25</v>
      </c>
      <c r="C462" t="s">
        <v>12</v>
      </c>
      <c r="D462">
        <v>23.3</v>
      </c>
      <c r="E462">
        <v>137</v>
      </c>
      <c r="F462">
        <v>84</v>
      </c>
      <c r="G462" t="s">
        <v>14</v>
      </c>
      <c r="H462" t="s">
        <v>13</v>
      </c>
      <c r="I462" t="s">
        <v>21</v>
      </c>
      <c r="J462" s="2">
        <v>2451.3200000000002</v>
      </c>
      <c r="K462" s="3">
        <v>45610</v>
      </c>
      <c r="L462" s="3">
        <v>45619</v>
      </c>
      <c r="M462" t="s">
        <v>23</v>
      </c>
      <c r="N462" t="str">
        <f>IF(Table1[[#This Row],[Age]]&lt;25,"&lt; 25",IF(Table1[[#This Row],[Age]]&lt;36,"25-35",IF(Table1[[#This Row],[Age]]&lt;51,"36-50",IF(Table1[[#This Row],[Age]]&lt;66,"51-65",IF(Table1[[#This Row],[Age]]&gt;65,"&gt;65","none")))))</f>
        <v>25-35</v>
      </c>
      <c r="O462" t="str">
        <f>IF(AND(Table1[[#This Row],[Smoker]]="Yes",Table1[[#This Row],[Diabetic]]="Yes"),"Yes","No")</f>
        <v>No</v>
      </c>
      <c r="P462" t="str">
        <f>IF(OR(Table1[[#This Row],[Smoker]]="Yes",Table1[[#This Row],[Diabetic]]="Yes"),"Yes","No")</f>
        <v>Yes</v>
      </c>
      <c r="Q462" s="1" t="str">
        <f>IF(OR(Table1[[#This Row],[Systolic]]&gt;125,Table1[[#This Row],[Diastolic]]&gt;90),"High","Normal")</f>
        <v>High</v>
      </c>
      <c r="R462" s="1">
        <f>Table1[[#This Row],[Discharge_Date]]-Table1[[#This Row],[Admission_Date]]</f>
        <v>9</v>
      </c>
      <c r="S462" s="1"/>
    </row>
    <row r="463" spans="1:19" x14ac:dyDescent="0.3">
      <c r="A463" t="s">
        <v>484</v>
      </c>
      <c r="B463">
        <v>30</v>
      </c>
      <c r="C463" t="s">
        <v>18</v>
      </c>
      <c r="D463">
        <v>33.700000000000003</v>
      </c>
      <c r="E463">
        <v>151</v>
      </c>
      <c r="F463">
        <v>62</v>
      </c>
      <c r="G463" t="s">
        <v>14</v>
      </c>
      <c r="H463" t="s">
        <v>13</v>
      </c>
      <c r="I463" t="s">
        <v>34</v>
      </c>
      <c r="J463" s="2">
        <v>2073.4</v>
      </c>
      <c r="K463" s="3">
        <v>45790</v>
      </c>
      <c r="L463" s="3">
        <v>45804</v>
      </c>
      <c r="M463" t="s">
        <v>23</v>
      </c>
      <c r="N463" t="str">
        <f>IF(Table1[[#This Row],[Age]]&lt;25,"&lt; 25",IF(Table1[[#This Row],[Age]]&lt;36,"25-35",IF(Table1[[#This Row],[Age]]&lt;51,"36-50",IF(Table1[[#This Row],[Age]]&lt;66,"51-65",IF(Table1[[#This Row],[Age]]&gt;65,"&gt;65","none")))))</f>
        <v>25-35</v>
      </c>
      <c r="O463" t="str">
        <f>IF(AND(Table1[[#This Row],[Smoker]]="Yes",Table1[[#This Row],[Diabetic]]="Yes"),"Yes","No")</f>
        <v>No</v>
      </c>
      <c r="P463" t="str">
        <f>IF(OR(Table1[[#This Row],[Smoker]]="Yes",Table1[[#This Row],[Diabetic]]="Yes"),"Yes","No")</f>
        <v>Yes</v>
      </c>
      <c r="Q463" s="1" t="str">
        <f>IF(OR(Table1[[#This Row],[Systolic]]&gt;125,Table1[[#This Row],[Diastolic]]&gt;90),"High","Normal")</f>
        <v>High</v>
      </c>
      <c r="R463" s="1">
        <f>Table1[[#This Row],[Discharge_Date]]-Table1[[#This Row],[Admission_Date]]</f>
        <v>14</v>
      </c>
      <c r="S463" s="1"/>
    </row>
    <row r="464" spans="1:19" x14ac:dyDescent="0.3">
      <c r="A464" t="s">
        <v>485</v>
      </c>
      <c r="B464">
        <v>70</v>
      </c>
      <c r="C464" t="s">
        <v>12</v>
      </c>
      <c r="D464">
        <v>30.6</v>
      </c>
      <c r="E464">
        <v>91</v>
      </c>
      <c r="F464">
        <v>113</v>
      </c>
      <c r="G464" t="s">
        <v>14</v>
      </c>
      <c r="H464" t="s">
        <v>13</v>
      </c>
      <c r="I464" t="s">
        <v>25</v>
      </c>
      <c r="J464" s="2">
        <v>1648.81</v>
      </c>
      <c r="K464" s="3">
        <v>45821</v>
      </c>
      <c r="L464" s="3">
        <v>45831</v>
      </c>
      <c r="M464" t="s">
        <v>19</v>
      </c>
      <c r="N464" t="str">
        <f>IF(Table1[[#This Row],[Age]]&lt;25,"&lt; 25",IF(Table1[[#This Row],[Age]]&lt;36,"25-35",IF(Table1[[#This Row],[Age]]&lt;51,"36-50",IF(Table1[[#This Row],[Age]]&lt;66,"51-65",IF(Table1[[#This Row],[Age]]&gt;65,"&gt;65","none")))))</f>
        <v>&gt;65</v>
      </c>
      <c r="O464" t="str">
        <f>IF(AND(Table1[[#This Row],[Smoker]]="Yes",Table1[[#This Row],[Diabetic]]="Yes"),"Yes","No")</f>
        <v>No</v>
      </c>
      <c r="P464" t="str">
        <f>IF(OR(Table1[[#This Row],[Smoker]]="Yes",Table1[[#This Row],[Diabetic]]="Yes"),"Yes","No")</f>
        <v>Yes</v>
      </c>
      <c r="Q464" s="1" t="str">
        <f>IF(OR(Table1[[#This Row],[Systolic]]&gt;125,Table1[[#This Row],[Diastolic]]&gt;90),"High","Normal")</f>
        <v>High</v>
      </c>
      <c r="R464" s="1">
        <f>Table1[[#This Row],[Discharge_Date]]-Table1[[#This Row],[Admission_Date]]</f>
        <v>10</v>
      </c>
      <c r="S464" s="1"/>
    </row>
    <row r="465" spans="1:19" x14ac:dyDescent="0.3">
      <c r="A465" t="s">
        <v>486</v>
      </c>
      <c r="B465">
        <v>38</v>
      </c>
      <c r="C465" t="s">
        <v>18</v>
      </c>
      <c r="D465">
        <v>26.3</v>
      </c>
      <c r="E465">
        <v>106</v>
      </c>
      <c r="F465">
        <v>93</v>
      </c>
      <c r="G465" t="s">
        <v>13</v>
      </c>
      <c r="H465" t="s">
        <v>14</v>
      </c>
      <c r="I465" t="s">
        <v>15</v>
      </c>
      <c r="J465" s="2">
        <v>559.57000000000005</v>
      </c>
      <c r="K465" s="3">
        <v>45877</v>
      </c>
      <c r="L465" s="3">
        <v>45884</v>
      </c>
      <c r="M465" t="s">
        <v>19</v>
      </c>
      <c r="N465" t="str">
        <f>IF(Table1[[#This Row],[Age]]&lt;25,"&lt; 25",IF(Table1[[#This Row],[Age]]&lt;36,"25-35",IF(Table1[[#This Row],[Age]]&lt;51,"36-50",IF(Table1[[#This Row],[Age]]&lt;66,"51-65",IF(Table1[[#This Row],[Age]]&gt;65,"&gt;65","none")))))</f>
        <v>36-50</v>
      </c>
      <c r="O465" t="str">
        <f>IF(AND(Table1[[#This Row],[Smoker]]="Yes",Table1[[#This Row],[Diabetic]]="Yes"),"Yes","No")</f>
        <v>No</v>
      </c>
      <c r="P465" t="str">
        <f>IF(OR(Table1[[#This Row],[Smoker]]="Yes",Table1[[#This Row],[Diabetic]]="Yes"),"Yes","No")</f>
        <v>Yes</v>
      </c>
      <c r="Q465" s="1" t="str">
        <f>IF(OR(Table1[[#This Row],[Systolic]]&gt;125,Table1[[#This Row],[Diastolic]]&gt;90),"High","Normal")</f>
        <v>High</v>
      </c>
      <c r="R465" s="1">
        <f>Table1[[#This Row],[Discharge_Date]]-Table1[[#This Row],[Admission_Date]]</f>
        <v>7</v>
      </c>
      <c r="S465" s="1"/>
    </row>
    <row r="466" spans="1:19" x14ac:dyDescent="0.3">
      <c r="A466" t="s">
        <v>487</v>
      </c>
      <c r="B466">
        <v>27</v>
      </c>
      <c r="C466" t="s">
        <v>18</v>
      </c>
      <c r="D466">
        <v>28.3</v>
      </c>
      <c r="E466">
        <v>105</v>
      </c>
      <c r="F466">
        <v>72</v>
      </c>
      <c r="G466" t="s">
        <v>13</v>
      </c>
      <c r="H466" t="s">
        <v>14</v>
      </c>
      <c r="I466" t="s">
        <v>25</v>
      </c>
      <c r="J466" s="2">
        <v>1916</v>
      </c>
      <c r="K466" s="3">
        <v>45739</v>
      </c>
      <c r="L466" s="3">
        <v>45749</v>
      </c>
      <c r="M466" t="s">
        <v>19</v>
      </c>
      <c r="N466" t="str">
        <f>IF(Table1[[#This Row],[Age]]&lt;25,"&lt; 25",IF(Table1[[#This Row],[Age]]&lt;36,"25-35",IF(Table1[[#This Row],[Age]]&lt;51,"36-50",IF(Table1[[#This Row],[Age]]&lt;66,"51-65",IF(Table1[[#This Row],[Age]]&gt;65,"&gt;65","none")))))</f>
        <v>25-35</v>
      </c>
      <c r="O466" t="str">
        <f>IF(AND(Table1[[#This Row],[Smoker]]="Yes",Table1[[#This Row],[Diabetic]]="Yes"),"Yes","No")</f>
        <v>No</v>
      </c>
      <c r="P466" t="str">
        <f>IF(OR(Table1[[#This Row],[Smoker]]="Yes",Table1[[#This Row],[Diabetic]]="Yes"),"Yes","No")</f>
        <v>Yes</v>
      </c>
      <c r="Q466" s="1" t="str">
        <f>IF(OR(Table1[[#This Row],[Systolic]]&gt;125,Table1[[#This Row],[Diastolic]]&gt;90),"High","Normal")</f>
        <v>Normal</v>
      </c>
      <c r="R466" s="1">
        <f>Table1[[#This Row],[Discharge_Date]]-Table1[[#This Row],[Admission_Date]]</f>
        <v>10</v>
      </c>
      <c r="S466" s="1"/>
    </row>
    <row r="467" spans="1:19" x14ac:dyDescent="0.3">
      <c r="A467" t="s">
        <v>488</v>
      </c>
      <c r="B467">
        <v>18</v>
      </c>
      <c r="C467" t="s">
        <v>18</v>
      </c>
      <c r="D467">
        <v>30.4</v>
      </c>
      <c r="E467">
        <v>173</v>
      </c>
      <c r="F467">
        <v>76</v>
      </c>
      <c r="G467" t="s">
        <v>14</v>
      </c>
      <c r="H467" t="s">
        <v>14</v>
      </c>
      <c r="I467" t="s">
        <v>25</v>
      </c>
      <c r="J467" s="2">
        <v>4109.37</v>
      </c>
      <c r="K467" s="3">
        <v>45594</v>
      </c>
      <c r="L467" s="3">
        <v>45608</v>
      </c>
      <c r="M467" t="s">
        <v>19</v>
      </c>
      <c r="N467" t="str">
        <f>IF(Table1[[#This Row],[Age]]&lt;25,"&lt; 25",IF(Table1[[#This Row],[Age]]&lt;36,"25-35",IF(Table1[[#This Row],[Age]]&lt;51,"36-50",IF(Table1[[#This Row],[Age]]&lt;66,"51-65",IF(Table1[[#This Row],[Age]]&gt;65,"&gt;65","none")))))</f>
        <v>&lt; 25</v>
      </c>
      <c r="O467" t="str">
        <f>IF(AND(Table1[[#This Row],[Smoker]]="Yes",Table1[[#This Row],[Diabetic]]="Yes"),"Yes","No")</f>
        <v>Yes</v>
      </c>
      <c r="P467" t="str">
        <f>IF(OR(Table1[[#This Row],[Smoker]]="Yes",Table1[[#This Row],[Diabetic]]="Yes"),"Yes","No")</f>
        <v>Yes</v>
      </c>
      <c r="Q467" s="1" t="str">
        <f>IF(OR(Table1[[#This Row],[Systolic]]&gt;125,Table1[[#This Row],[Diastolic]]&gt;90),"High","Normal")</f>
        <v>High</v>
      </c>
      <c r="R467" s="1">
        <f>Table1[[#This Row],[Discharge_Date]]-Table1[[#This Row],[Admission_Date]]</f>
        <v>14</v>
      </c>
      <c r="S467" s="1"/>
    </row>
    <row r="468" spans="1:19" x14ac:dyDescent="0.3">
      <c r="A468" t="s">
        <v>489</v>
      </c>
      <c r="B468">
        <v>27</v>
      </c>
      <c r="C468" t="s">
        <v>12</v>
      </c>
      <c r="D468">
        <v>31.4</v>
      </c>
      <c r="E468">
        <v>148</v>
      </c>
      <c r="F468">
        <v>110</v>
      </c>
      <c r="G468" t="s">
        <v>13</v>
      </c>
      <c r="H468" t="s">
        <v>14</v>
      </c>
      <c r="I468" t="s">
        <v>21</v>
      </c>
      <c r="J468" s="2">
        <v>4992.09</v>
      </c>
      <c r="K468" s="3">
        <v>45674</v>
      </c>
      <c r="L468" s="3">
        <v>45678</v>
      </c>
      <c r="M468" t="s">
        <v>16</v>
      </c>
      <c r="N468" t="str">
        <f>IF(Table1[[#This Row],[Age]]&lt;25,"&lt; 25",IF(Table1[[#This Row],[Age]]&lt;36,"25-35",IF(Table1[[#This Row],[Age]]&lt;51,"36-50",IF(Table1[[#This Row],[Age]]&lt;66,"51-65",IF(Table1[[#This Row],[Age]]&gt;65,"&gt;65","none")))))</f>
        <v>25-35</v>
      </c>
      <c r="O468" t="str">
        <f>IF(AND(Table1[[#This Row],[Smoker]]="Yes",Table1[[#This Row],[Diabetic]]="Yes"),"Yes","No")</f>
        <v>No</v>
      </c>
      <c r="P468" t="str">
        <f>IF(OR(Table1[[#This Row],[Smoker]]="Yes",Table1[[#This Row],[Diabetic]]="Yes"),"Yes","No")</f>
        <v>Yes</v>
      </c>
      <c r="Q468" s="1" t="str">
        <f>IF(OR(Table1[[#This Row],[Systolic]]&gt;125,Table1[[#This Row],[Diastolic]]&gt;90),"High","Normal")</f>
        <v>High</v>
      </c>
      <c r="R468" s="1">
        <f>Table1[[#This Row],[Discharge_Date]]-Table1[[#This Row],[Admission_Date]]</f>
        <v>4</v>
      </c>
      <c r="S468" s="1"/>
    </row>
    <row r="469" spans="1:19" x14ac:dyDescent="0.3">
      <c r="A469" t="s">
        <v>490</v>
      </c>
      <c r="B469">
        <v>76</v>
      </c>
      <c r="C469" t="s">
        <v>18</v>
      </c>
      <c r="D469">
        <v>28.1</v>
      </c>
      <c r="E469">
        <v>157</v>
      </c>
      <c r="F469">
        <v>91</v>
      </c>
      <c r="G469" t="s">
        <v>13</v>
      </c>
      <c r="H469" t="s">
        <v>14</v>
      </c>
      <c r="I469" t="s">
        <v>15</v>
      </c>
      <c r="J469" s="2">
        <v>2823.57</v>
      </c>
      <c r="K469" s="3">
        <v>45647</v>
      </c>
      <c r="L469" s="3">
        <v>45651</v>
      </c>
      <c r="M469" t="s">
        <v>23</v>
      </c>
      <c r="N469" t="str">
        <f>IF(Table1[[#This Row],[Age]]&lt;25,"&lt; 25",IF(Table1[[#This Row],[Age]]&lt;36,"25-35",IF(Table1[[#This Row],[Age]]&lt;51,"36-50",IF(Table1[[#This Row],[Age]]&lt;66,"51-65",IF(Table1[[#This Row],[Age]]&gt;65,"&gt;65","none")))))</f>
        <v>&gt;65</v>
      </c>
      <c r="O469" t="str">
        <f>IF(AND(Table1[[#This Row],[Smoker]]="Yes",Table1[[#This Row],[Diabetic]]="Yes"),"Yes","No")</f>
        <v>No</v>
      </c>
      <c r="P469" t="str">
        <f>IF(OR(Table1[[#This Row],[Smoker]]="Yes",Table1[[#This Row],[Diabetic]]="Yes"),"Yes","No")</f>
        <v>Yes</v>
      </c>
      <c r="Q469" s="1" t="str">
        <f>IF(OR(Table1[[#This Row],[Systolic]]&gt;125,Table1[[#This Row],[Diastolic]]&gt;90),"High","Normal")</f>
        <v>High</v>
      </c>
      <c r="R469" s="1">
        <f>Table1[[#This Row],[Discharge_Date]]-Table1[[#This Row],[Admission_Date]]</f>
        <v>4</v>
      </c>
      <c r="S469" s="1"/>
    </row>
    <row r="470" spans="1:19" x14ac:dyDescent="0.3">
      <c r="A470" t="s">
        <v>491</v>
      </c>
      <c r="B470">
        <v>21</v>
      </c>
      <c r="C470" t="s">
        <v>12</v>
      </c>
      <c r="D470">
        <v>18.8</v>
      </c>
      <c r="E470">
        <v>101</v>
      </c>
      <c r="F470">
        <v>101</v>
      </c>
      <c r="G470" t="s">
        <v>13</v>
      </c>
      <c r="H470" t="s">
        <v>14</v>
      </c>
      <c r="I470" t="s">
        <v>34</v>
      </c>
      <c r="J470" s="2">
        <v>4853.3</v>
      </c>
      <c r="K470" s="3">
        <v>45671</v>
      </c>
      <c r="L470" s="3">
        <v>45683</v>
      </c>
      <c r="M470" t="s">
        <v>19</v>
      </c>
      <c r="N470" t="str">
        <f>IF(Table1[[#This Row],[Age]]&lt;25,"&lt; 25",IF(Table1[[#This Row],[Age]]&lt;36,"25-35",IF(Table1[[#This Row],[Age]]&lt;51,"36-50",IF(Table1[[#This Row],[Age]]&lt;66,"51-65",IF(Table1[[#This Row],[Age]]&gt;65,"&gt;65","none")))))</f>
        <v>&lt; 25</v>
      </c>
      <c r="O470" t="str">
        <f>IF(AND(Table1[[#This Row],[Smoker]]="Yes",Table1[[#This Row],[Diabetic]]="Yes"),"Yes","No")</f>
        <v>No</v>
      </c>
      <c r="P470" t="str">
        <f>IF(OR(Table1[[#This Row],[Smoker]]="Yes",Table1[[#This Row],[Diabetic]]="Yes"),"Yes","No")</f>
        <v>Yes</v>
      </c>
      <c r="Q470" s="1" t="str">
        <f>IF(OR(Table1[[#This Row],[Systolic]]&gt;125,Table1[[#This Row],[Diastolic]]&gt;90),"High","Normal")</f>
        <v>High</v>
      </c>
      <c r="R470" s="1">
        <f>Table1[[#This Row],[Discharge_Date]]-Table1[[#This Row],[Admission_Date]]</f>
        <v>12</v>
      </c>
      <c r="S470" s="1"/>
    </row>
    <row r="471" spans="1:19" x14ac:dyDescent="0.3">
      <c r="A471" t="s">
        <v>492</v>
      </c>
      <c r="B471">
        <v>74</v>
      </c>
      <c r="C471" t="s">
        <v>18</v>
      </c>
      <c r="D471">
        <v>36.700000000000003</v>
      </c>
      <c r="E471">
        <v>161</v>
      </c>
      <c r="F471">
        <v>77</v>
      </c>
      <c r="G471" t="s">
        <v>13</v>
      </c>
      <c r="H471" t="s">
        <v>14</v>
      </c>
      <c r="I471" t="s">
        <v>32</v>
      </c>
      <c r="J471" s="2">
        <v>2131.4</v>
      </c>
      <c r="K471" s="3">
        <v>45647</v>
      </c>
      <c r="L471" s="3">
        <v>45658</v>
      </c>
      <c r="M471" t="s">
        <v>16</v>
      </c>
      <c r="N471" t="str">
        <f>IF(Table1[[#This Row],[Age]]&lt;25,"&lt; 25",IF(Table1[[#This Row],[Age]]&lt;36,"25-35",IF(Table1[[#This Row],[Age]]&lt;51,"36-50",IF(Table1[[#This Row],[Age]]&lt;66,"51-65",IF(Table1[[#This Row],[Age]]&gt;65,"&gt;65","none")))))</f>
        <v>&gt;65</v>
      </c>
      <c r="O471" t="str">
        <f>IF(AND(Table1[[#This Row],[Smoker]]="Yes",Table1[[#This Row],[Diabetic]]="Yes"),"Yes","No")</f>
        <v>No</v>
      </c>
      <c r="P471" t="str">
        <f>IF(OR(Table1[[#This Row],[Smoker]]="Yes",Table1[[#This Row],[Diabetic]]="Yes"),"Yes","No")</f>
        <v>Yes</v>
      </c>
      <c r="Q471" s="1" t="str">
        <f>IF(OR(Table1[[#This Row],[Systolic]]&gt;125,Table1[[#This Row],[Diastolic]]&gt;90),"High","Normal")</f>
        <v>High</v>
      </c>
      <c r="R471" s="1">
        <f>Table1[[#This Row],[Discharge_Date]]-Table1[[#This Row],[Admission_Date]]</f>
        <v>11</v>
      </c>
      <c r="S471" s="1"/>
    </row>
    <row r="472" spans="1:19" x14ac:dyDescent="0.3">
      <c r="A472" t="s">
        <v>493</v>
      </c>
      <c r="B472">
        <v>46</v>
      </c>
      <c r="C472" t="s">
        <v>18</v>
      </c>
      <c r="D472">
        <v>36</v>
      </c>
      <c r="E472">
        <v>102</v>
      </c>
      <c r="F472">
        <v>93</v>
      </c>
      <c r="G472" t="s">
        <v>13</v>
      </c>
      <c r="H472" t="s">
        <v>13</v>
      </c>
      <c r="I472" t="s">
        <v>21</v>
      </c>
      <c r="J472" s="2">
        <v>1541.38</v>
      </c>
      <c r="K472" s="3">
        <v>45649</v>
      </c>
      <c r="L472" s="3">
        <v>45659</v>
      </c>
      <c r="M472" t="s">
        <v>19</v>
      </c>
      <c r="N472" t="str">
        <f>IF(Table1[[#This Row],[Age]]&lt;25,"&lt; 25",IF(Table1[[#This Row],[Age]]&lt;36,"25-35",IF(Table1[[#This Row],[Age]]&lt;51,"36-50",IF(Table1[[#This Row],[Age]]&lt;66,"51-65",IF(Table1[[#This Row],[Age]]&gt;65,"&gt;65","none")))))</f>
        <v>36-50</v>
      </c>
      <c r="O472" t="str">
        <f>IF(AND(Table1[[#This Row],[Smoker]]="Yes",Table1[[#This Row],[Diabetic]]="Yes"),"Yes","No")</f>
        <v>No</v>
      </c>
      <c r="P472" t="str">
        <f>IF(OR(Table1[[#This Row],[Smoker]]="Yes",Table1[[#This Row],[Diabetic]]="Yes"),"Yes","No")</f>
        <v>No</v>
      </c>
      <c r="Q472" s="1" t="str">
        <f>IF(OR(Table1[[#This Row],[Systolic]]&gt;125,Table1[[#This Row],[Diastolic]]&gt;90),"High","Normal")</f>
        <v>High</v>
      </c>
      <c r="R472" s="1">
        <f>Table1[[#This Row],[Discharge_Date]]-Table1[[#This Row],[Admission_Date]]</f>
        <v>10</v>
      </c>
      <c r="S472" s="1"/>
    </row>
    <row r="473" spans="1:19" x14ac:dyDescent="0.3">
      <c r="A473" t="s">
        <v>494</v>
      </c>
      <c r="B473">
        <v>54</v>
      </c>
      <c r="C473" t="s">
        <v>18</v>
      </c>
      <c r="D473">
        <v>36.6</v>
      </c>
      <c r="E473">
        <v>168</v>
      </c>
      <c r="F473">
        <v>118</v>
      </c>
      <c r="G473" t="s">
        <v>13</v>
      </c>
      <c r="H473" t="s">
        <v>13</v>
      </c>
      <c r="I473" t="s">
        <v>21</v>
      </c>
      <c r="J473" s="2">
        <v>4003.18</v>
      </c>
      <c r="K473" s="3">
        <v>45606</v>
      </c>
      <c r="L473" s="3">
        <v>45613</v>
      </c>
      <c r="M473" t="s">
        <v>16</v>
      </c>
      <c r="N473" t="str">
        <f>IF(Table1[[#This Row],[Age]]&lt;25,"&lt; 25",IF(Table1[[#This Row],[Age]]&lt;36,"25-35",IF(Table1[[#This Row],[Age]]&lt;51,"36-50",IF(Table1[[#This Row],[Age]]&lt;66,"51-65",IF(Table1[[#This Row],[Age]]&gt;65,"&gt;65","none")))))</f>
        <v>51-65</v>
      </c>
      <c r="O473" t="str">
        <f>IF(AND(Table1[[#This Row],[Smoker]]="Yes",Table1[[#This Row],[Diabetic]]="Yes"),"Yes","No")</f>
        <v>No</v>
      </c>
      <c r="P473" t="str">
        <f>IF(OR(Table1[[#This Row],[Smoker]]="Yes",Table1[[#This Row],[Diabetic]]="Yes"),"Yes","No")</f>
        <v>No</v>
      </c>
      <c r="Q473" s="1" t="str">
        <f>IF(OR(Table1[[#This Row],[Systolic]]&gt;125,Table1[[#This Row],[Diastolic]]&gt;90),"High","Normal")</f>
        <v>High</v>
      </c>
      <c r="R473" s="1">
        <f>Table1[[#This Row],[Discharge_Date]]-Table1[[#This Row],[Admission_Date]]</f>
        <v>7</v>
      </c>
      <c r="S473" s="1"/>
    </row>
    <row r="474" spans="1:19" x14ac:dyDescent="0.3">
      <c r="A474" t="s">
        <v>495</v>
      </c>
      <c r="B474">
        <v>24</v>
      </c>
      <c r="C474" t="s">
        <v>12</v>
      </c>
      <c r="D474">
        <v>18.3</v>
      </c>
      <c r="E474">
        <v>156</v>
      </c>
      <c r="F474">
        <v>80</v>
      </c>
      <c r="G474" t="s">
        <v>14</v>
      </c>
      <c r="H474" t="s">
        <v>13</v>
      </c>
      <c r="I474" t="s">
        <v>21</v>
      </c>
      <c r="J474" s="2">
        <v>4426.88</v>
      </c>
      <c r="K474" s="3">
        <v>45670</v>
      </c>
      <c r="L474" s="3">
        <v>45679</v>
      </c>
      <c r="M474" t="s">
        <v>19</v>
      </c>
      <c r="N474" t="str">
        <f>IF(Table1[[#This Row],[Age]]&lt;25,"&lt; 25",IF(Table1[[#This Row],[Age]]&lt;36,"25-35",IF(Table1[[#This Row],[Age]]&lt;51,"36-50",IF(Table1[[#This Row],[Age]]&lt;66,"51-65",IF(Table1[[#This Row],[Age]]&gt;65,"&gt;65","none")))))</f>
        <v>&lt; 25</v>
      </c>
      <c r="O474" t="str">
        <f>IF(AND(Table1[[#This Row],[Smoker]]="Yes",Table1[[#This Row],[Diabetic]]="Yes"),"Yes","No")</f>
        <v>No</v>
      </c>
      <c r="P474" t="str">
        <f>IF(OR(Table1[[#This Row],[Smoker]]="Yes",Table1[[#This Row],[Diabetic]]="Yes"),"Yes","No")</f>
        <v>Yes</v>
      </c>
      <c r="Q474" s="1" t="str">
        <f>IF(OR(Table1[[#This Row],[Systolic]]&gt;125,Table1[[#This Row],[Diastolic]]&gt;90),"High","Normal")</f>
        <v>High</v>
      </c>
      <c r="R474" s="1">
        <f>Table1[[#This Row],[Discharge_Date]]-Table1[[#This Row],[Admission_Date]]</f>
        <v>9</v>
      </c>
      <c r="S474" s="1"/>
    </row>
    <row r="475" spans="1:19" x14ac:dyDescent="0.3">
      <c r="A475" t="s">
        <v>496</v>
      </c>
      <c r="B475">
        <v>77</v>
      </c>
      <c r="C475" t="s">
        <v>12</v>
      </c>
      <c r="D475">
        <v>28.9</v>
      </c>
      <c r="E475">
        <v>128</v>
      </c>
      <c r="F475">
        <v>109</v>
      </c>
      <c r="G475" t="s">
        <v>13</v>
      </c>
      <c r="H475" t="s">
        <v>14</v>
      </c>
      <c r="I475" t="s">
        <v>15</v>
      </c>
      <c r="J475" s="2">
        <v>1957.24</v>
      </c>
      <c r="K475" s="3">
        <v>45926</v>
      </c>
      <c r="L475" s="3">
        <v>45933</v>
      </c>
      <c r="M475" t="s">
        <v>16</v>
      </c>
      <c r="N475" t="str">
        <f>IF(Table1[[#This Row],[Age]]&lt;25,"&lt; 25",IF(Table1[[#This Row],[Age]]&lt;36,"25-35",IF(Table1[[#This Row],[Age]]&lt;51,"36-50",IF(Table1[[#This Row],[Age]]&lt;66,"51-65",IF(Table1[[#This Row],[Age]]&gt;65,"&gt;65","none")))))</f>
        <v>&gt;65</v>
      </c>
      <c r="O475" t="str">
        <f>IF(AND(Table1[[#This Row],[Smoker]]="Yes",Table1[[#This Row],[Diabetic]]="Yes"),"Yes","No")</f>
        <v>No</v>
      </c>
      <c r="P475" t="str">
        <f>IF(OR(Table1[[#This Row],[Smoker]]="Yes",Table1[[#This Row],[Diabetic]]="Yes"),"Yes","No")</f>
        <v>Yes</v>
      </c>
      <c r="Q475" s="1" t="str">
        <f>IF(OR(Table1[[#This Row],[Systolic]]&gt;125,Table1[[#This Row],[Diastolic]]&gt;90),"High","Normal")</f>
        <v>High</v>
      </c>
      <c r="R475" s="1">
        <f>Table1[[#This Row],[Discharge_Date]]-Table1[[#This Row],[Admission_Date]]</f>
        <v>7</v>
      </c>
      <c r="S475" s="1"/>
    </row>
    <row r="476" spans="1:19" x14ac:dyDescent="0.3">
      <c r="A476" t="s">
        <v>497</v>
      </c>
      <c r="B476">
        <v>83</v>
      </c>
      <c r="C476" t="s">
        <v>18</v>
      </c>
      <c r="D476">
        <v>25.4</v>
      </c>
      <c r="E476">
        <v>160</v>
      </c>
      <c r="F476">
        <v>116</v>
      </c>
      <c r="G476" t="s">
        <v>14</v>
      </c>
      <c r="H476" t="s">
        <v>14</v>
      </c>
      <c r="I476" t="s">
        <v>34</v>
      </c>
      <c r="J476" s="2">
        <v>3109.38</v>
      </c>
      <c r="K476" s="3">
        <v>45615</v>
      </c>
      <c r="L476" s="3">
        <v>45618</v>
      </c>
      <c r="M476" t="s">
        <v>19</v>
      </c>
      <c r="N476" t="str">
        <f>IF(Table1[[#This Row],[Age]]&lt;25,"&lt; 25",IF(Table1[[#This Row],[Age]]&lt;36,"25-35",IF(Table1[[#This Row],[Age]]&lt;51,"36-50",IF(Table1[[#This Row],[Age]]&lt;66,"51-65",IF(Table1[[#This Row],[Age]]&gt;65,"&gt;65","none")))))</f>
        <v>&gt;65</v>
      </c>
      <c r="O476" t="str">
        <f>IF(AND(Table1[[#This Row],[Smoker]]="Yes",Table1[[#This Row],[Diabetic]]="Yes"),"Yes","No")</f>
        <v>Yes</v>
      </c>
      <c r="P476" t="str">
        <f>IF(OR(Table1[[#This Row],[Smoker]]="Yes",Table1[[#This Row],[Diabetic]]="Yes"),"Yes","No")</f>
        <v>Yes</v>
      </c>
      <c r="Q476" s="1" t="str">
        <f>IF(OR(Table1[[#This Row],[Systolic]]&gt;125,Table1[[#This Row],[Diastolic]]&gt;90),"High","Normal")</f>
        <v>High</v>
      </c>
      <c r="R476" s="1">
        <f>Table1[[#This Row],[Discharge_Date]]-Table1[[#This Row],[Admission_Date]]</f>
        <v>3</v>
      </c>
      <c r="S476" s="1"/>
    </row>
    <row r="477" spans="1:19" x14ac:dyDescent="0.3">
      <c r="A477" t="s">
        <v>498</v>
      </c>
      <c r="B477">
        <v>50</v>
      </c>
      <c r="C477" t="s">
        <v>12</v>
      </c>
      <c r="D477">
        <v>32.9</v>
      </c>
      <c r="E477">
        <v>131</v>
      </c>
      <c r="F477">
        <v>104</v>
      </c>
      <c r="G477" t="s">
        <v>14</v>
      </c>
      <c r="H477" t="s">
        <v>14</v>
      </c>
      <c r="I477" t="s">
        <v>21</v>
      </c>
      <c r="J477" s="2">
        <v>2035.49</v>
      </c>
      <c r="K477" s="3">
        <v>45602</v>
      </c>
      <c r="L477" s="3">
        <v>45610</v>
      </c>
      <c r="M477" t="s">
        <v>16</v>
      </c>
      <c r="N477" t="str">
        <f>IF(Table1[[#This Row],[Age]]&lt;25,"&lt; 25",IF(Table1[[#This Row],[Age]]&lt;36,"25-35",IF(Table1[[#This Row],[Age]]&lt;51,"36-50",IF(Table1[[#This Row],[Age]]&lt;66,"51-65",IF(Table1[[#This Row],[Age]]&gt;65,"&gt;65","none")))))</f>
        <v>36-50</v>
      </c>
      <c r="O477" t="str">
        <f>IF(AND(Table1[[#This Row],[Smoker]]="Yes",Table1[[#This Row],[Diabetic]]="Yes"),"Yes","No")</f>
        <v>Yes</v>
      </c>
      <c r="P477" t="str">
        <f>IF(OR(Table1[[#This Row],[Smoker]]="Yes",Table1[[#This Row],[Diabetic]]="Yes"),"Yes","No")</f>
        <v>Yes</v>
      </c>
      <c r="Q477" s="1" t="str">
        <f>IF(OR(Table1[[#This Row],[Systolic]]&gt;125,Table1[[#This Row],[Diastolic]]&gt;90),"High","Normal")</f>
        <v>High</v>
      </c>
      <c r="R477" s="1">
        <f>Table1[[#This Row],[Discharge_Date]]-Table1[[#This Row],[Admission_Date]]</f>
        <v>8</v>
      </c>
      <c r="S477" s="1"/>
    </row>
    <row r="478" spans="1:19" x14ac:dyDescent="0.3">
      <c r="A478" t="s">
        <v>499</v>
      </c>
      <c r="B478">
        <v>58</v>
      </c>
      <c r="C478" t="s">
        <v>12</v>
      </c>
      <c r="D478">
        <v>31</v>
      </c>
      <c r="E478">
        <v>149</v>
      </c>
      <c r="F478">
        <v>90</v>
      </c>
      <c r="G478" t="s">
        <v>14</v>
      </c>
      <c r="H478" t="s">
        <v>14</v>
      </c>
      <c r="I478" t="s">
        <v>21</v>
      </c>
      <c r="J478" s="2">
        <v>267.81</v>
      </c>
      <c r="K478" s="3">
        <v>45780</v>
      </c>
      <c r="L478" s="3">
        <v>45794</v>
      </c>
      <c r="M478" t="s">
        <v>23</v>
      </c>
      <c r="N478" t="str">
        <f>IF(Table1[[#This Row],[Age]]&lt;25,"&lt; 25",IF(Table1[[#This Row],[Age]]&lt;36,"25-35",IF(Table1[[#This Row],[Age]]&lt;51,"36-50",IF(Table1[[#This Row],[Age]]&lt;66,"51-65",IF(Table1[[#This Row],[Age]]&gt;65,"&gt;65","none")))))</f>
        <v>51-65</v>
      </c>
      <c r="O478" t="str">
        <f>IF(AND(Table1[[#This Row],[Smoker]]="Yes",Table1[[#This Row],[Diabetic]]="Yes"),"Yes","No")</f>
        <v>Yes</v>
      </c>
      <c r="P478" t="str">
        <f>IF(OR(Table1[[#This Row],[Smoker]]="Yes",Table1[[#This Row],[Diabetic]]="Yes"),"Yes","No")</f>
        <v>Yes</v>
      </c>
      <c r="Q478" s="1" t="str">
        <f>IF(OR(Table1[[#This Row],[Systolic]]&gt;125,Table1[[#This Row],[Diastolic]]&gt;90),"High","Normal")</f>
        <v>High</v>
      </c>
      <c r="R478" s="1">
        <f>Table1[[#This Row],[Discharge_Date]]-Table1[[#This Row],[Admission_Date]]</f>
        <v>14</v>
      </c>
      <c r="S478" s="1"/>
    </row>
    <row r="479" spans="1:19" x14ac:dyDescent="0.3">
      <c r="A479" t="s">
        <v>500</v>
      </c>
      <c r="B479">
        <v>29</v>
      </c>
      <c r="C479" t="s">
        <v>12</v>
      </c>
      <c r="D479">
        <v>23.4</v>
      </c>
      <c r="E479">
        <v>119</v>
      </c>
      <c r="F479">
        <v>103</v>
      </c>
      <c r="G479" t="s">
        <v>13</v>
      </c>
      <c r="H479" t="s">
        <v>13</v>
      </c>
      <c r="I479" t="s">
        <v>21</v>
      </c>
      <c r="J479" s="2">
        <v>4407.32</v>
      </c>
      <c r="K479" s="3">
        <v>45806</v>
      </c>
      <c r="L479" s="3">
        <v>45816</v>
      </c>
      <c r="M479" t="s">
        <v>16</v>
      </c>
      <c r="N479" t="str">
        <f>IF(Table1[[#This Row],[Age]]&lt;25,"&lt; 25",IF(Table1[[#This Row],[Age]]&lt;36,"25-35",IF(Table1[[#This Row],[Age]]&lt;51,"36-50",IF(Table1[[#This Row],[Age]]&lt;66,"51-65",IF(Table1[[#This Row],[Age]]&gt;65,"&gt;65","none")))))</f>
        <v>25-35</v>
      </c>
      <c r="O479" t="str">
        <f>IF(AND(Table1[[#This Row],[Smoker]]="Yes",Table1[[#This Row],[Diabetic]]="Yes"),"Yes","No")</f>
        <v>No</v>
      </c>
      <c r="P479" t="str">
        <f>IF(OR(Table1[[#This Row],[Smoker]]="Yes",Table1[[#This Row],[Diabetic]]="Yes"),"Yes","No")</f>
        <v>No</v>
      </c>
      <c r="Q479" s="1" t="str">
        <f>IF(OR(Table1[[#This Row],[Systolic]]&gt;125,Table1[[#This Row],[Diastolic]]&gt;90),"High","Normal")</f>
        <v>High</v>
      </c>
      <c r="R479" s="1">
        <f>Table1[[#This Row],[Discharge_Date]]-Table1[[#This Row],[Admission_Date]]</f>
        <v>10</v>
      </c>
      <c r="S479" s="1"/>
    </row>
    <row r="480" spans="1:19" x14ac:dyDescent="0.3">
      <c r="A480" t="s">
        <v>501</v>
      </c>
      <c r="B480">
        <v>63</v>
      </c>
      <c r="C480" t="s">
        <v>18</v>
      </c>
      <c r="D480">
        <v>23.8</v>
      </c>
      <c r="E480">
        <v>135</v>
      </c>
      <c r="F480">
        <v>119</v>
      </c>
      <c r="G480" t="s">
        <v>13</v>
      </c>
      <c r="H480" t="s">
        <v>14</v>
      </c>
      <c r="I480" t="s">
        <v>34</v>
      </c>
      <c r="J480" s="2">
        <v>1773.35</v>
      </c>
      <c r="K480" s="3">
        <v>45660</v>
      </c>
      <c r="L480" s="3">
        <v>45663</v>
      </c>
      <c r="M480" t="s">
        <v>16</v>
      </c>
      <c r="N480" t="str">
        <f>IF(Table1[[#This Row],[Age]]&lt;25,"&lt; 25",IF(Table1[[#This Row],[Age]]&lt;36,"25-35",IF(Table1[[#This Row],[Age]]&lt;51,"36-50",IF(Table1[[#This Row],[Age]]&lt;66,"51-65",IF(Table1[[#This Row],[Age]]&gt;65,"&gt;65","none")))))</f>
        <v>51-65</v>
      </c>
      <c r="O480" t="str">
        <f>IF(AND(Table1[[#This Row],[Smoker]]="Yes",Table1[[#This Row],[Diabetic]]="Yes"),"Yes","No")</f>
        <v>No</v>
      </c>
      <c r="P480" t="str">
        <f>IF(OR(Table1[[#This Row],[Smoker]]="Yes",Table1[[#This Row],[Diabetic]]="Yes"),"Yes","No")</f>
        <v>Yes</v>
      </c>
      <c r="Q480" s="1" t="str">
        <f>IF(OR(Table1[[#This Row],[Systolic]]&gt;125,Table1[[#This Row],[Diastolic]]&gt;90),"High","Normal")</f>
        <v>High</v>
      </c>
      <c r="R480" s="1">
        <f>Table1[[#This Row],[Discharge_Date]]-Table1[[#This Row],[Admission_Date]]</f>
        <v>3</v>
      </c>
      <c r="S480" s="1"/>
    </row>
    <row r="481" spans="1:19" x14ac:dyDescent="0.3">
      <c r="A481" t="s">
        <v>502</v>
      </c>
      <c r="B481">
        <v>57</v>
      </c>
      <c r="C481" t="s">
        <v>18</v>
      </c>
      <c r="D481">
        <v>27.6</v>
      </c>
      <c r="E481">
        <v>173</v>
      </c>
      <c r="F481">
        <v>63</v>
      </c>
      <c r="G481" t="s">
        <v>13</v>
      </c>
      <c r="H481" t="s">
        <v>13</v>
      </c>
      <c r="I481" t="s">
        <v>34</v>
      </c>
      <c r="J481" s="2">
        <v>3284.22</v>
      </c>
      <c r="K481" s="3">
        <v>45712</v>
      </c>
      <c r="L481" s="3">
        <v>45718</v>
      </c>
      <c r="M481" t="s">
        <v>23</v>
      </c>
      <c r="N481" t="str">
        <f>IF(Table1[[#This Row],[Age]]&lt;25,"&lt; 25",IF(Table1[[#This Row],[Age]]&lt;36,"25-35",IF(Table1[[#This Row],[Age]]&lt;51,"36-50",IF(Table1[[#This Row],[Age]]&lt;66,"51-65",IF(Table1[[#This Row],[Age]]&gt;65,"&gt;65","none")))))</f>
        <v>51-65</v>
      </c>
      <c r="O481" t="str">
        <f>IF(AND(Table1[[#This Row],[Smoker]]="Yes",Table1[[#This Row],[Diabetic]]="Yes"),"Yes","No")</f>
        <v>No</v>
      </c>
      <c r="P481" t="str">
        <f>IF(OR(Table1[[#This Row],[Smoker]]="Yes",Table1[[#This Row],[Diabetic]]="Yes"),"Yes","No")</f>
        <v>No</v>
      </c>
      <c r="Q481" s="1" t="str">
        <f>IF(OR(Table1[[#This Row],[Systolic]]&gt;125,Table1[[#This Row],[Diastolic]]&gt;90),"High","Normal")</f>
        <v>High</v>
      </c>
      <c r="R481" s="1">
        <f>Table1[[#This Row],[Discharge_Date]]-Table1[[#This Row],[Admission_Date]]</f>
        <v>6</v>
      </c>
      <c r="S481" s="1"/>
    </row>
    <row r="482" spans="1:19" x14ac:dyDescent="0.3">
      <c r="A482" t="s">
        <v>503</v>
      </c>
      <c r="B482">
        <v>65</v>
      </c>
      <c r="C482" t="s">
        <v>18</v>
      </c>
      <c r="D482">
        <v>27.5</v>
      </c>
      <c r="E482">
        <v>124</v>
      </c>
      <c r="F482">
        <v>73</v>
      </c>
      <c r="G482" t="s">
        <v>14</v>
      </c>
      <c r="H482" t="s">
        <v>14</v>
      </c>
      <c r="I482" t="s">
        <v>25</v>
      </c>
      <c r="J482" s="2">
        <v>2982.39</v>
      </c>
      <c r="K482" s="3">
        <v>45594</v>
      </c>
      <c r="L482" s="3">
        <v>45600</v>
      </c>
      <c r="M482" t="s">
        <v>19</v>
      </c>
      <c r="N482" t="str">
        <f>IF(Table1[[#This Row],[Age]]&lt;25,"&lt; 25",IF(Table1[[#This Row],[Age]]&lt;36,"25-35",IF(Table1[[#This Row],[Age]]&lt;51,"36-50",IF(Table1[[#This Row],[Age]]&lt;66,"51-65",IF(Table1[[#This Row],[Age]]&gt;65,"&gt;65","none")))))</f>
        <v>51-65</v>
      </c>
      <c r="O482" t="str">
        <f>IF(AND(Table1[[#This Row],[Smoker]]="Yes",Table1[[#This Row],[Diabetic]]="Yes"),"Yes","No")</f>
        <v>Yes</v>
      </c>
      <c r="P482" t="str">
        <f>IF(OR(Table1[[#This Row],[Smoker]]="Yes",Table1[[#This Row],[Diabetic]]="Yes"),"Yes","No")</f>
        <v>Yes</v>
      </c>
      <c r="Q482" s="1" t="str">
        <f>IF(OR(Table1[[#This Row],[Systolic]]&gt;125,Table1[[#This Row],[Diastolic]]&gt;90),"High","Normal")</f>
        <v>Normal</v>
      </c>
      <c r="R482" s="1">
        <f>Table1[[#This Row],[Discharge_Date]]-Table1[[#This Row],[Admission_Date]]</f>
        <v>6</v>
      </c>
      <c r="S482" s="1"/>
    </row>
    <row r="483" spans="1:19" x14ac:dyDescent="0.3">
      <c r="A483" t="s">
        <v>504</v>
      </c>
      <c r="B483">
        <v>23</v>
      </c>
      <c r="C483" t="s">
        <v>18</v>
      </c>
      <c r="D483">
        <v>27</v>
      </c>
      <c r="E483">
        <v>138</v>
      </c>
      <c r="F483">
        <v>101</v>
      </c>
      <c r="G483" t="s">
        <v>13</v>
      </c>
      <c r="H483" t="s">
        <v>13</v>
      </c>
      <c r="I483" t="s">
        <v>21</v>
      </c>
      <c r="J483" s="2">
        <v>3665.93</v>
      </c>
      <c r="K483" s="3">
        <v>45597</v>
      </c>
      <c r="L483" s="3">
        <v>45603</v>
      </c>
      <c r="M483" t="s">
        <v>19</v>
      </c>
      <c r="N483" t="str">
        <f>IF(Table1[[#This Row],[Age]]&lt;25,"&lt; 25",IF(Table1[[#This Row],[Age]]&lt;36,"25-35",IF(Table1[[#This Row],[Age]]&lt;51,"36-50",IF(Table1[[#This Row],[Age]]&lt;66,"51-65",IF(Table1[[#This Row],[Age]]&gt;65,"&gt;65","none")))))</f>
        <v>&lt; 25</v>
      </c>
      <c r="O483" t="str">
        <f>IF(AND(Table1[[#This Row],[Smoker]]="Yes",Table1[[#This Row],[Diabetic]]="Yes"),"Yes","No")</f>
        <v>No</v>
      </c>
      <c r="P483" t="str">
        <f>IF(OR(Table1[[#This Row],[Smoker]]="Yes",Table1[[#This Row],[Diabetic]]="Yes"),"Yes","No")</f>
        <v>No</v>
      </c>
      <c r="Q483" s="1" t="str">
        <f>IF(OR(Table1[[#This Row],[Systolic]]&gt;125,Table1[[#This Row],[Diastolic]]&gt;90),"High","Normal")</f>
        <v>High</v>
      </c>
      <c r="R483" s="1">
        <f>Table1[[#This Row],[Discharge_Date]]-Table1[[#This Row],[Admission_Date]]</f>
        <v>6</v>
      </c>
      <c r="S483" s="1"/>
    </row>
    <row r="484" spans="1:19" x14ac:dyDescent="0.3">
      <c r="A484" t="s">
        <v>505</v>
      </c>
      <c r="B484">
        <v>63</v>
      </c>
      <c r="C484" t="s">
        <v>18</v>
      </c>
      <c r="D484">
        <v>28.7</v>
      </c>
      <c r="E484">
        <v>129</v>
      </c>
      <c r="F484">
        <v>99</v>
      </c>
      <c r="G484" t="s">
        <v>13</v>
      </c>
      <c r="H484" t="s">
        <v>14</v>
      </c>
      <c r="I484" t="s">
        <v>25</v>
      </c>
      <c r="J484" s="2">
        <v>2708.55</v>
      </c>
      <c r="K484" s="3">
        <v>45645</v>
      </c>
      <c r="L484" s="3">
        <v>45649</v>
      </c>
      <c r="M484" t="s">
        <v>16</v>
      </c>
      <c r="N484" t="str">
        <f>IF(Table1[[#This Row],[Age]]&lt;25,"&lt; 25",IF(Table1[[#This Row],[Age]]&lt;36,"25-35",IF(Table1[[#This Row],[Age]]&lt;51,"36-50",IF(Table1[[#This Row],[Age]]&lt;66,"51-65",IF(Table1[[#This Row],[Age]]&gt;65,"&gt;65","none")))))</f>
        <v>51-65</v>
      </c>
      <c r="O484" t="str">
        <f>IF(AND(Table1[[#This Row],[Smoker]]="Yes",Table1[[#This Row],[Diabetic]]="Yes"),"Yes","No")</f>
        <v>No</v>
      </c>
      <c r="P484" t="str">
        <f>IF(OR(Table1[[#This Row],[Smoker]]="Yes",Table1[[#This Row],[Diabetic]]="Yes"),"Yes","No")</f>
        <v>Yes</v>
      </c>
      <c r="Q484" s="1" t="str">
        <f>IF(OR(Table1[[#This Row],[Systolic]]&gt;125,Table1[[#This Row],[Diastolic]]&gt;90),"High","Normal")</f>
        <v>High</v>
      </c>
      <c r="R484" s="1">
        <f>Table1[[#This Row],[Discharge_Date]]-Table1[[#This Row],[Admission_Date]]</f>
        <v>4</v>
      </c>
      <c r="S484" s="1"/>
    </row>
    <row r="485" spans="1:19" x14ac:dyDescent="0.3">
      <c r="A485" t="s">
        <v>506</v>
      </c>
      <c r="B485">
        <v>43</v>
      </c>
      <c r="C485" t="s">
        <v>12</v>
      </c>
      <c r="D485">
        <v>38.799999999999997</v>
      </c>
      <c r="E485">
        <v>144</v>
      </c>
      <c r="F485">
        <v>93</v>
      </c>
      <c r="G485" t="s">
        <v>13</v>
      </c>
      <c r="H485" t="s">
        <v>13</v>
      </c>
      <c r="I485" t="s">
        <v>25</v>
      </c>
      <c r="J485" s="2">
        <v>1860.21</v>
      </c>
      <c r="K485" s="3">
        <v>45782</v>
      </c>
      <c r="L485" s="3">
        <v>45783</v>
      </c>
      <c r="M485" t="s">
        <v>19</v>
      </c>
      <c r="N485" t="str">
        <f>IF(Table1[[#This Row],[Age]]&lt;25,"&lt; 25",IF(Table1[[#This Row],[Age]]&lt;36,"25-35",IF(Table1[[#This Row],[Age]]&lt;51,"36-50",IF(Table1[[#This Row],[Age]]&lt;66,"51-65",IF(Table1[[#This Row],[Age]]&gt;65,"&gt;65","none")))))</f>
        <v>36-50</v>
      </c>
      <c r="O485" t="str">
        <f>IF(AND(Table1[[#This Row],[Smoker]]="Yes",Table1[[#This Row],[Diabetic]]="Yes"),"Yes","No")</f>
        <v>No</v>
      </c>
      <c r="P485" t="str">
        <f>IF(OR(Table1[[#This Row],[Smoker]]="Yes",Table1[[#This Row],[Diabetic]]="Yes"),"Yes","No")</f>
        <v>No</v>
      </c>
      <c r="Q485" s="1" t="str">
        <f>IF(OR(Table1[[#This Row],[Systolic]]&gt;125,Table1[[#This Row],[Diastolic]]&gt;90),"High","Normal")</f>
        <v>High</v>
      </c>
      <c r="R485" s="1">
        <f>Table1[[#This Row],[Discharge_Date]]-Table1[[#This Row],[Admission_Date]]</f>
        <v>1</v>
      </c>
      <c r="S485" s="1"/>
    </row>
    <row r="486" spans="1:19" x14ac:dyDescent="0.3">
      <c r="A486" t="s">
        <v>507</v>
      </c>
      <c r="B486">
        <v>26</v>
      </c>
      <c r="C486" t="s">
        <v>18</v>
      </c>
      <c r="D486">
        <v>35.5</v>
      </c>
      <c r="E486">
        <v>100</v>
      </c>
      <c r="F486">
        <v>73</v>
      </c>
      <c r="G486" t="s">
        <v>13</v>
      </c>
      <c r="H486" t="s">
        <v>14</v>
      </c>
      <c r="I486" t="s">
        <v>34</v>
      </c>
      <c r="J486" s="2">
        <v>885.51</v>
      </c>
      <c r="K486" s="3">
        <v>45656</v>
      </c>
      <c r="L486" s="3">
        <v>45658</v>
      </c>
      <c r="M486" t="s">
        <v>19</v>
      </c>
      <c r="N486" t="str">
        <f>IF(Table1[[#This Row],[Age]]&lt;25,"&lt; 25",IF(Table1[[#This Row],[Age]]&lt;36,"25-35",IF(Table1[[#This Row],[Age]]&lt;51,"36-50",IF(Table1[[#This Row],[Age]]&lt;66,"51-65",IF(Table1[[#This Row],[Age]]&gt;65,"&gt;65","none")))))</f>
        <v>25-35</v>
      </c>
      <c r="O486" t="str">
        <f>IF(AND(Table1[[#This Row],[Smoker]]="Yes",Table1[[#This Row],[Diabetic]]="Yes"),"Yes","No")</f>
        <v>No</v>
      </c>
      <c r="P486" t="str">
        <f>IF(OR(Table1[[#This Row],[Smoker]]="Yes",Table1[[#This Row],[Diabetic]]="Yes"),"Yes","No")</f>
        <v>Yes</v>
      </c>
      <c r="Q486" s="1" t="str">
        <f>IF(OR(Table1[[#This Row],[Systolic]]&gt;125,Table1[[#This Row],[Diastolic]]&gt;90),"High","Normal")</f>
        <v>Normal</v>
      </c>
      <c r="R486" s="1">
        <f>Table1[[#This Row],[Discharge_Date]]-Table1[[#This Row],[Admission_Date]]</f>
        <v>2</v>
      </c>
      <c r="S486" s="1"/>
    </row>
    <row r="487" spans="1:19" x14ac:dyDescent="0.3">
      <c r="A487" t="s">
        <v>508</v>
      </c>
      <c r="B487">
        <v>53</v>
      </c>
      <c r="C487" t="s">
        <v>18</v>
      </c>
      <c r="D487">
        <v>27.6</v>
      </c>
      <c r="E487">
        <v>121</v>
      </c>
      <c r="F487">
        <v>113</v>
      </c>
      <c r="G487" t="s">
        <v>14</v>
      </c>
      <c r="H487" t="s">
        <v>13</v>
      </c>
      <c r="I487" t="s">
        <v>25</v>
      </c>
      <c r="J487" s="2">
        <v>4928.8500000000004</v>
      </c>
      <c r="K487" s="3">
        <v>45926</v>
      </c>
      <c r="L487" s="3">
        <v>45934</v>
      </c>
      <c r="M487" t="s">
        <v>16</v>
      </c>
      <c r="N487" t="str">
        <f>IF(Table1[[#This Row],[Age]]&lt;25,"&lt; 25",IF(Table1[[#This Row],[Age]]&lt;36,"25-35",IF(Table1[[#This Row],[Age]]&lt;51,"36-50",IF(Table1[[#This Row],[Age]]&lt;66,"51-65",IF(Table1[[#This Row],[Age]]&gt;65,"&gt;65","none")))))</f>
        <v>51-65</v>
      </c>
      <c r="O487" t="str">
        <f>IF(AND(Table1[[#This Row],[Smoker]]="Yes",Table1[[#This Row],[Diabetic]]="Yes"),"Yes","No")</f>
        <v>No</v>
      </c>
      <c r="P487" t="str">
        <f>IF(OR(Table1[[#This Row],[Smoker]]="Yes",Table1[[#This Row],[Diabetic]]="Yes"),"Yes","No")</f>
        <v>Yes</v>
      </c>
      <c r="Q487" s="1" t="str">
        <f>IF(OR(Table1[[#This Row],[Systolic]]&gt;125,Table1[[#This Row],[Diastolic]]&gt;90),"High","Normal")</f>
        <v>High</v>
      </c>
      <c r="R487" s="1">
        <f>Table1[[#This Row],[Discharge_Date]]-Table1[[#This Row],[Admission_Date]]</f>
        <v>8</v>
      </c>
      <c r="S487" s="1"/>
    </row>
    <row r="488" spans="1:19" x14ac:dyDescent="0.3">
      <c r="A488" t="s">
        <v>509</v>
      </c>
      <c r="B488">
        <v>24</v>
      </c>
      <c r="C488" t="s">
        <v>12</v>
      </c>
      <c r="D488">
        <v>30.8</v>
      </c>
      <c r="E488">
        <v>160</v>
      </c>
      <c r="F488">
        <v>71</v>
      </c>
      <c r="G488" t="s">
        <v>13</v>
      </c>
      <c r="H488" t="s">
        <v>14</v>
      </c>
      <c r="I488" t="s">
        <v>21</v>
      </c>
      <c r="J488" s="2">
        <v>4719.38</v>
      </c>
      <c r="K488" s="3">
        <v>45845</v>
      </c>
      <c r="L488" s="3">
        <v>45855</v>
      </c>
      <c r="M488" t="s">
        <v>23</v>
      </c>
      <c r="N488" t="str">
        <f>IF(Table1[[#This Row],[Age]]&lt;25,"&lt; 25",IF(Table1[[#This Row],[Age]]&lt;36,"25-35",IF(Table1[[#This Row],[Age]]&lt;51,"36-50",IF(Table1[[#This Row],[Age]]&lt;66,"51-65",IF(Table1[[#This Row],[Age]]&gt;65,"&gt;65","none")))))</f>
        <v>&lt; 25</v>
      </c>
      <c r="O488" t="str">
        <f>IF(AND(Table1[[#This Row],[Smoker]]="Yes",Table1[[#This Row],[Diabetic]]="Yes"),"Yes","No")</f>
        <v>No</v>
      </c>
      <c r="P488" t="str">
        <f>IF(OR(Table1[[#This Row],[Smoker]]="Yes",Table1[[#This Row],[Diabetic]]="Yes"),"Yes","No")</f>
        <v>Yes</v>
      </c>
      <c r="Q488" s="1" t="str">
        <f>IF(OR(Table1[[#This Row],[Systolic]]&gt;125,Table1[[#This Row],[Diastolic]]&gt;90),"High","Normal")</f>
        <v>High</v>
      </c>
      <c r="R488" s="1">
        <f>Table1[[#This Row],[Discharge_Date]]-Table1[[#This Row],[Admission_Date]]</f>
        <v>10</v>
      </c>
      <c r="S488" s="1"/>
    </row>
    <row r="489" spans="1:19" x14ac:dyDescent="0.3">
      <c r="A489" t="s">
        <v>510</v>
      </c>
      <c r="B489">
        <v>20</v>
      </c>
      <c r="C489" t="s">
        <v>18</v>
      </c>
      <c r="D489">
        <v>20.7</v>
      </c>
      <c r="E489">
        <v>152</v>
      </c>
      <c r="F489">
        <v>114</v>
      </c>
      <c r="G489" t="s">
        <v>14</v>
      </c>
      <c r="H489" t="s">
        <v>13</v>
      </c>
      <c r="I489" t="s">
        <v>32</v>
      </c>
      <c r="J489" s="2">
        <v>3670.73</v>
      </c>
      <c r="K489" s="3">
        <v>45694</v>
      </c>
      <c r="L489" s="3">
        <v>45697</v>
      </c>
      <c r="M489" t="s">
        <v>23</v>
      </c>
      <c r="N489" t="str">
        <f>IF(Table1[[#This Row],[Age]]&lt;25,"&lt; 25",IF(Table1[[#This Row],[Age]]&lt;36,"25-35",IF(Table1[[#This Row],[Age]]&lt;51,"36-50",IF(Table1[[#This Row],[Age]]&lt;66,"51-65",IF(Table1[[#This Row],[Age]]&gt;65,"&gt;65","none")))))</f>
        <v>&lt; 25</v>
      </c>
      <c r="O489" t="str">
        <f>IF(AND(Table1[[#This Row],[Smoker]]="Yes",Table1[[#This Row],[Diabetic]]="Yes"),"Yes","No")</f>
        <v>No</v>
      </c>
      <c r="P489" t="str">
        <f>IF(OR(Table1[[#This Row],[Smoker]]="Yes",Table1[[#This Row],[Diabetic]]="Yes"),"Yes","No")</f>
        <v>Yes</v>
      </c>
      <c r="Q489" s="1" t="str">
        <f>IF(OR(Table1[[#This Row],[Systolic]]&gt;125,Table1[[#This Row],[Diastolic]]&gt;90),"High","Normal")</f>
        <v>High</v>
      </c>
      <c r="R489" s="1">
        <f>Table1[[#This Row],[Discharge_Date]]-Table1[[#This Row],[Admission_Date]]</f>
        <v>3</v>
      </c>
      <c r="S489" s="1"/>
    </row>
    <row r="490" spans="1:19" x14ac:dyDescent="0.3">
      <c r="A490" t="s">
        <v>511</v>
      </c>
      <c r="B490">
        <v>36</v>
      </c>
      <c r="C490" t="s">
        <v>12</v>
      </c>
      <c r="D490">
        <v>34.4</v>
      </c>
      <c r="E490">
        <v>102</v>
      </c>
      <c r="F490">
        <v>106</v>
      </c>
      <c r="G490" t="s">
        <v>13</v>
      </c>
      <c r="H490" t="s">
        <v>14</v>
      </c>
      <c r="I490" t="s">
        <v>32</v>
      </c>
      <c r="J490" s="2">
        <v>2953.78</v>
      </c>
      <c r="K490" s="3">
        <v>45701</v>
      </c>
      <c r="L490" s="3">
        <v>45703</v>
      </c>
      <c r="M490" t="s">
        <v>19</v>
      </c>
      <c r="N490" t="str">
        <f>IF(Table1[[#This Row],[Age]]&lt;25,"&lt; 25",IF(Table1[[#This Row],[Age]]&lt;36,"25-35",IF(Table1[[#This Row],[Age]]&lt;51,"36-50",IF(Table1[[#This Row],[Age]]&lt;66,"51-65",IF(Table1[[#This Row],[Age]]&gt;65,"&gt;65","none")))))</f>
        <v>36-50</v>
      </c>
      <c r="O490" t="str">
        <f>IF(AND(Table1[[#This Row],[Smoker]]="Yes",Table1[[#This Row],[Diabetic]]="Yes"),"Yes","No")</f>
        <v>No</v>
      </c>
      <c r="P490" t="str">
        <f>IF(OR(Table1[[#This Row],[Smoker]]="Yes",Table1[[#This Row],[Diabetic]]="Yes"),"Yes","No")</f>
        <v>Yes</v>
      </c>
      <c r="Q490" s="1" t="str">
        <f>IF(OR(Table1[[#This Row],[Systolic]]&gt;125,Table1[[#This Row],[Diastolic]]&gt;90),"High","Normal")</f>
        <v>High</v>
      </c>
      <c r="R490" s="1">
        <f>Table1[[#This Row],[Discharge_Date]]-Table1[[#This Row],[Admission_Date]]</f>
        <v>2</v>
      </c>
      <c r="S490" s="1"/>
    </row>
    <row r="491" spans="1:19" x14ac:dyDescent="0.3">
      <c r="A491" t="s">
        <v>512</v>
      </c>
      <c r="B491">
        <v>57</v>
      </c>
      <c r="C491" t="s">
        <v>18</v>
      </c>
      <c r="D491">
        <v>20</v>
      </c>
      <c r="E491">
        <v>105</v>
      </c>
      <c r="F491">
        <v>110</v>
      </c>
      <c r="G491" t="s">
        <v>13</v>
      </c>
      <c r="H491" t="s">
        <v>14</v>
      </c>
      <c r="I491" t="s">
        <v>32</v>
      </c>
      <c r="J491" s="2">
        <v>4278.8599999999997</v>
      </c>
      <c r="K491" s="3">
        <v>45622</v>
      </c>
      <c r="L491" s="3">
        <v>45632</v>
      </c>
      <c r="M491" t="s">
        <v>16</v>
      </c>
      <c r="N491" t="str">
        <f>IF(Table1[[#This Row],[Age]]&lt;25,"&lt; 25",IF(Table1[[#This Row],[Age]]&lt;36,"25-35",IF(Table1[[#This Row],[Age]]&lt;51,"36-50",IF(Table1[[#This Row],[Age]]&lt;66,"51-65",IF(Table1[[#This Row],[Age]]&gt;65,"&gt;65","none")))))</f>
        <v>51-65</v>
      </c>
      <c r="O491" t="str">
        <f>IF(AND(Table1[[#This Row],[Smoker]]="Yes",Table1[[#This Row],[Diabetic]]="Yes"),"Yes","No")</f>
        <v>No</v>
      </c>
      <c r="P491" t="str">
        <f>IF(OR(Table1[[#This Row],[Smoker]]="Yes",Table1[[#This Row],[Diabetic]]="Yes"),"Yes","No")</f>
        <v>Yes</v>
      </c>
      <c r="Q491" s="1" t="str">
        <f>IF(OR(Table1[[#This Row],[Systolic]]&gt;125,Table1[[#This Row],[Diastolic]]&gt;90),"High","Normal")</f>
        <v>High</v>
      </c>
      <c r="R491" s="1">
        <f>Table1[[#This Row],[Discharge_Date]]-Table1[[#This Row],[Admission_Date]]</f>
        <v>10</v>
      </c>
      <c r="S491" s="1"/>
    </row>
    <row r="492" spans="1:19" x14ac:dyDescent="0.3">
      <c r="A492" t="s">
        <v>513</v>
      </c>
      <c r="B492">
        <v>48</v>
      </c>
      <c r="C492" t="s">
        <v>12</v>
      </c>
      <c r="D492">
        <v>24.1</v>
      </c>
      <c r="E492">
        <v>153</v>
      </c>
      <c r="F492">
        <v>81</v>
      </c>
      <c r="G492" t="s">
        <v>14</v>
      </c>
      <c r="H492" t="s">
        <v>14</v>
      </c>
      <c r="I492" t="s">
        <v>34</v>
      </c>
      <c r="J492" s="2">
        <v>318.98</v>
      </c>
      <c r="K492" s="3">
        <v>45661</v>
      </c>
      <c r="L492" s="3">
        <v>45669</v>
      </c>
      <c r="M492" t="s">
        <v>19</v>
      </c>
      <c r="N492" t="str">
        <f>IF(Table1[[#This Row],[Age]]&lt;25,"&lt; 25",IF(Table1[[#This Row],[Age]]&lt;36,"25-35",IF(Table1[[#This Row],[Age]]&lt;51,"36-50",IF(Table1[[#This Row],[Age]]&lt;66,"51-65",IF(Table1[[#This Row],[Age]]&gt;65,"&gt;65","none")))))</f>
        <v>36-50</v>
      </c>
      <c r="O492" t="str">
        <f>IF(AND(Table1[[#This Row],[Smoker]]="Yes",Table1[[#This Row],[Diabetic]]="Yes"),"Yes","No")</f>
        <v>Yes</v>
      </c>
      <c r="P492" t="str">
        <f>IF(OR(Table1[[#This Row],[Smoker]]="Yes",Table1[[#This Row],[Diabetic]]="Yes"),"Yes","No")</f>
        <v>Yes</v>
      </c>
      <c r="Q492" s="1" t="str">
        <f>IF(OR(Table1[[#This Row],[Systolic]]&gt;125,Table1[[#This Row],[Diastolic]]&gt;90),"High","Normal")</f>
        <v>High</v>
      </c>
      <c r="R492" s="1">
        <f>Table1[[#This Row],[Discharge_Date]]-Table1[[#This Row],[Admission_Date]]</f>
        <v>8</v>
      </c>
      <c r="S492" s="1"/>
    </row>
    <row r="493" spans="1:19" x14ac:dyDescent="0.3">
      <c r="A493" t="s">
        <v>514</v>
      </c>
      <c r="B493">
        <v>43</v>
      </c>
      <c r="C493" t="s">
        <v>18</v>
      </c>
      <c r="D493">
        <v>18.100000000000001</v>
      </c>
      <c r="E493">
        <v>163</v>
      </c>
      <c r="F493">
        <v>83</v>
      </c>
      <c r="G493" t="s">
        <v>13</v>
      </c>
      <c r="H493" t="s">
        <v>14</v>
      </c>
      <c r="I493" t="s">
        <v>21</v>
      </c>
      <c r="J493" s="2">
        <v>4610.62</v>
      </c>
      <c r="K493" s="3">
        <v>45670</v>
      </c>
      <c r="L493" s="3">
        <v>45671</v>
      </c>
      <c r="M493" t="s">
        <v>23</v>
      </c>
      <c r="N493" t="str">
        <f>IF(Table1[[#This Row],[Age]]&lt;25,"&lt; 25",IF(Table1[[#This Row],[Age]]&lt;36,"25-35",IF(Table1[[#This Row],[Age]]&lt;51,"36-50",IF(Table1[[#This Row],[Age]]&lt;66,"51-65",IF(Table1[[#This Row],[Age]]&gt;65,"&gt;65","none")))))</f>
        <v>36-50</v>
      </c>
      <c r="O493" t="str">
        <f>IF(AND(Table1[[#This Row],[Smoker]]="Yes",Table1[[#This Row],[Diabetic]]="Yes"),"Yes","No")</f>
        <v>No</v>
      </c>
      <c r="P493" t="str">
        <f>IF(OR(Table1[[#This Row],[Smoker]]="Yes",Table1[[#This Row],[Diabetic]]="Yes"),"Yes","No")</f>
        <v>Yes</v>
      </c>
      <c r="Q493" s="1" t="str">
        <f>IF(OR(Table1[[#This Row],[Systolic]]&gt;125,Table1[[#This Row],[Diastolic]]&gt;90),"High","Normal")</f>
        <v>High</v>
      </c>
      <c r="R493" s="1">
        <f>Table1[[#This Row],[Discharge_Date]]-Table1[[#This Row],[Admission_Date]]</f>
        <v>1</v>
      </c>
      <c r="S493" s="1"/>
    </row>
    <row r="494" spans="1:19" x14ac:dyDescent="0.3">
      <c r="A494" t="s">
        <v>515</v>
      </c>
      <c r="B494">
        <v>46</v>
      </c>
      <c r="C494" t="s">
        <v>12</v>
      </c>
      <c r="D494">
        <v>38.6</v>
      </c>
      <c r="E494">
        <v>121</v>
      </c>
      <c r="F494">
        <v>118</v>
      </c>
      <c r="G494" t="s">
        <v>13</v>
      </c>
      <c r="H494" t="s">
        <v>14</v>
      </c>
      <c r="I494" t="s">
        <v>15</v>
      </c>
      <c r="J494" s="2">
        <v>2972.75</v>
      </c>
      <c r="K494" s="3">
        <v>45739</v>
      </c>
      <c r="L494" s="3">
        <v>45743</v>
      </c>
      <c r="M494" t="s">
        <v>16</v>
      </c>
      <c r="N494" t="str">
        <f>IF(Table1[[#This Row],[Age]]&lt;25,"&lt; 25",IF(Table1[[#This Row],[Age]]&lt;36,"25-35",IF(Table1[[#This Row],[Age]]&lt;51,"36-50",IF(Table1[[#This Row],[Age]]&lt;66,"51-65",IF(Table1[[#This Row],[Age]]&gt;65,"&gt;65","none")))))</f>
        <v>36-50</v>
      </c>
      <c r="O494" t="str">
        <f>IF(AND(Table1[[#This Row],[Smoker]]="Yes",Table1[[#This Row],[Diabetic]]="Yes"),"Yes","No")</f>
        <v>No</v>
      </c>
      <c r="P494" t="str">
        <f>IF(OR(Table1[[#This Row],[Smoker]]="Yes",Table1[[#This Row],[Diabetic]]="Yes"),"Yes","No")</f>
        <v>Yes</v>
      </c>
      <c r="Q494" s="1" t="str">
        <f>IF(OR(Table1[[#This Row],[Systolic]]&gt;125,Table1[[#This Row],[Diastolic]]&gt;90),"High","Normal")</f>
        <v>High</v>
      </c>
      <c r="R494" s="1">
        <f>Table1[[#This Row],[Discharge_Date]]-Table1[[#This Row],[Admission_Date]]</f>
        <v>4</v>
      </c>
      <c r="S494" s="1"/>
    </row>
    <row r="495" spans="1:19" x14ac:dyDescent="0.3">
      <c r="A495" t="s">
        <v>516</v>
      </c>
      <c r="B495">
        <v>33</v>
      </c>
      <c r="C495" t="s">
        <v>18</v>
      </c>
      <c r="D495">
        <v>30.3</v>
      </c>
      <c r="E495">
        <v>143</v>
      </c>
      <c r="F495">
        <v>105</v>
      </c>
      <c r="G495" t="s">
        <v>14</v>
      </c>
      <c r="H495" t="s">
        <v>13</v>
      </c>
      <c r="I495" t="s">
        <v>21</v>
      </c>
      <c r="J495" s="2">
        <v>3152.77</v>
      </c>
      <c r="K495" s="3">
        <v>45722</v>
      </c>
      <c r="L495" s="3">
        <v>45733</v>
      </c>
      <c r="M495" t="s">
        <v>23</v>
      </c>
      <c r="N495" t="str">
        <f>IF(Table1[[#This Row],[Age]]&lt;25,"&lt; 25",IF(Table1[[#This Row],[Age]]&lt;36,"25-35",IF(Table1[[#This Row],[Age]]&lt;51,"36-50",IF(Table1[[#This Row],[Age]]&lt;66,"51-65",IF(Table1[[#This Row],[Age]]&gt;65,"&gt;65","none")))))</f>
        <v>25-35</v>
      </c>
      <c r="O495" t="str">
        <f>IF(AND(Table1[[#This Row],[Smoker]]="Yes",Table1[[#This Row],[Diabetic]]="Yes"),"Yes","No")</f>
        <v>No</v>
      </c>
      <c r="P495" t="str">
        <f>IF(OR(Table1[[#This Row],[Smoker]]="Yes",Table1[[#This Row],[Diabetic]]="Yes"),"Yes","No")</f>
        <v>Yes</v>
      </c>
      <c r="Q495" s="1" t="str">
        <f>IF(OR(Table1[[#This Row],[Systolic]]&gt;125,Table1[[#This Row],[Diastolic]]&gt;90),"High","Normal")</f>
        <v>High</v>
      </c>
      <c r="R495" s="1">
        <f>Table1[[#This Row],[Discharge_Date]]-Table1[[#This Row],[Admission_Date]]</f>
        <v>11</v>
      </c>
      <c r="S495" s="1"/>
    </row>
    <row r="496" spans="1:19" x14ac:dyDescent="0.3">
      <c r="A496" t="s">
        <v>517</v>
      </c>
      <c r="B496">
        <v>25</v>
      </c>
      <c r="C496" t="s">
        <v>18</v>
      </c>
      <c r="D496">
        <v>39.9</v>
      </c>
      <c r="E496">
        <v>97</v>
      </c>
      <c r="F496">
        <v>88</v>
      </c>
      <c r="G496" t="s">
        <v>14</v>
      </c>
      <c r="H496" t="s">
        <v>14</v>
      </c>
      <c r="I496" t="s">
        <v>32</v>
      </c>
      <c r="J496" s="2">
        <v>1947.09</v>
      </c>
      <c r="K496" s="3">
        <v>45650</v>
      </c>
      <c r="L496" s="3">
        <v>45651</v>
      </c>
      <c r="M496" t="s">
        <v>16</v>
      </c>
      <c r="N496" t="str">
        <f>IF(Table1[[#This Row],[Age]]&lt;25,"&lt; 25",IF(Table1[[#This Row],[Age]]&lt;36,"25-35",IF(Table1[[#This Row],[Age]]&lt;51,"36-50",IF(Table1[[#This Row],[Age]]&lt;66,"51-65",IF(Table1[[#This Row],[Age]]&gt;65,"&gt;65","none")))))</f>
        <v>25-35</v>
      </c>
      <c r="O496" t="str">
        <f>IF(AND(Table1[[#This Row],[Smoker]]="Yes",Table1[[#This Row],[Diabetic]]="Yes"),"Yes","No")</f>
        <v>Yes</v>
      </c>
      <c r="P496" t="str">
        <f>IF(OR(Table1[[#This Row],[Smoker]]="Yes",Table1[[#This Row],[Diabetic]]="Yes"),"Yes","No")</f>
        <v>Yes</v>
      </c>
      <c r="Q496" s="1" t="str">
        <f>IF(OR(Table1[[#This Row],[Systolic]]&gt;125,Table1[[#This Row],[Diastolic]]&gt;90),"High","Normal")</f>
        <v>Normal</v>
      </c>
      <c r="R496" s="1">
        <f>Table1[[#This Row],[Discharge_Date]]-Table1[[#This Row],[Admission_Date]]</f>
        <v>1</v>
      </c>
      <c r="S496" s="1"/>
    </row>
    <row r="497" spans="1:19" x14ac:dyDescent="0.3">
      <c r="A497" t="s">
        <v>518</v>
      </c>
      <c r="B497">
        <v>59</v>
      </c>
      <c r="C497" t="s">
        <v>18</v>
      </c>
      <c r="D497">
        <v>18.3</v>
      </c>
      <c r="E497">
        <v>161</v>
      </c>
      <c r="F497">
        <v>77</v>
      </c>
      <c r="G497" t="s">
        <v>14</v>
      </c>
      <c r="H497" t="s">
        <v>13</v>
      </c>
      <c r="I497" t="s">
        <v>32</v>
      </c>
      <c r="J497" s="2">
        <v>1675.74</v>
      </c>
      <c r="K497" s="3">
        <v>45745</v>
      </c>
      <c r="L497" s="3">
        <v>45749</v>
      </c>
      <c r="M497" t="s">
        <v>23</v>
      </c>
      <c r="N497" t="str">
        <f>IF(Table1[[#This Row],[Age]]&lt;25,"&lt; 25",IF(Table1[[#This Row],[Age]]&lt;36,"25-35",IF(Table1[[#This Row],[Age]]&lt;51,"36-50",IF(Table1[[#This Row],[Age]]&lt;66,"51-65",IF(Table1[[#This Row],[Age]]&gt;65,"&gt;65","none")))))</f>
        <v>51-65</v>
      </c>
      <c r="O497" t="str">
        <f>IF(AND(Table1[[#This Row],[Smoker]]="Yes",Table1[[#This Row],[Diabetic]]="Yes"),"Yes","No")</f>
        <v>No</v>
      </c>
      <c r="P497" t="str">
        <f>IF(OR(Table1[[#This Row],[Smoker]]="Yes",Table1[[#This Row],[Diabetic]]="Yes"),"Yes","No")</f>
        <v>Yes</v>
      </c>
      <c r="Q497" s="1" t="str">
        <f>IF(OR(Table1[[#This Row],[Systolic]]&gt;125,Table1[[#This Row],[Diastolic]]&gt;90),"High","Normal")</f>
        <v>High</v>
      </c>
      <c r="R497" s="1">
        <f>Table1[[#This Row],[Discharge_Date]]-Table1[[#This Row],[Admission_Date]]</f>
        <v>4</v>
      </c>
      <c r="S497" s="1"/>
    </row>
    <row r="498" spans="1:19" x14ac:dyDescent="0.3">
      <c r="A498" t="s">
        <v>519</v>
      </c>
      <c r="B498">
        <v>38</v>
      </c>
      <c r="C498" t="s">
        <v>18</v>
      </c>
      <c r="D498">
        <v>19.600000000000001</v>
      </c>
      <c r="E498">
        <v>142</v>
      </c>
      <c r="F498">
        <v>97</v>
      </c>
      <c r="G498" t="s">
        <v>14</v>
      </c>
      <c r="H498" t="s">
        <v>13</v>
      </c>
      <c r="I498" t="s">
        <v>21</v>
      </c>
      <c r="J498" s="2">
        <v>2113.33</v>
      </c>
      <c r="K498" s="3">
        <v>45845</v>
      </c>
      <c r="L498" s="3">
        <v>45855</v>
      </c>
      <c r="M498" t="s">
        <v>19</v>
      </c>
      <c r="N498" t="str">
        <f>IF(Table1[[#This Row],[Age]]&lt;25,"&lt; 25",IF(Table1[[#This Row],[Age]]&lt;36,"25-35",IF(Table1[[#This Row],[Age]]&lt;51,"36-50",IF(Table1[[#This Row],[Age]]&lt;66,"51-65",IF(Table1[[#This Row],[Age]]&gt;65,"&gt;65","none")))))</f>
        <v>36-50</v>
      </c>
      <c r="O498" t="str">
        <f>IF(AND(Table1[[#This Row],[Smoker]]="Yes",Table1[[#This Row],[Diabetic]]="Yes"),"Yes","No")</f>
        <v>No</v>
      </c>
      <c r="P498" t="str">
        <f>IF(OR(Table1[[#This Row],[Smoker]]="Yes",Table1[[#This Row],[Diabetic]]="Yes"),"Yes","No")</f>
        <v>Yes</v>
      </c>
      <c r="Q498" s="1" t="str">
        <f>IF(OR(Table1[[#This Row],[Systolic]]&gt;125,Table1[[#This Row],[Diastolic]]&gt;90),"High","Normal")</f>
        <v>High</v>
      </c>
      <c r="R498" s="1">
        <f>Table1[[#This Row],[Discharge_Date]]-Table1[[#This Row],[Admission_Date]]</f>
        <v>10</v>
      </c>
      <c r="S498" s="1"/>
    </row>
    <row r="499" spans="1:19" x14ac:dyDescent="0.3">
      <c r="A499" t="s">
        <v>520</v>
      </c>
      <c r="B499">
        <v>46</v>
      </c>
      <c r="C499" t="s">
        <v>12</v>
      </c>
      <c r="D499">
        <v>28.6</v>
      </c>
      <c r="E499">
        <v>96</v>
      </c>
      <c r="F499">
        <v>100</v>
      </c>
      <c r="G499" t="s">
        <v>13</v>
      </c>
      <c r="H499" t="s">
        <v>13</v>
      </c>
      <c r="I499" t="s">
        <v>32</v>
      </c>
      <c r="J499" s="2">
        <v>4121.1899999999996</v>
      </c>
      <c r="K499" s="3">
        <v>45617</v>
      </c>
      <c r="L499" s="3">
        <v>45631</v>
      </c>
      <c r="M499" t="s">
        <v>19</v>
      </c>
      <c r="N499" t="str">
        <f>IF(Table1[[#This Row],[Age]]&lt;25,"&lt; 25",IF(Table1[[#This Row],[Age]]&lt;36,"25-35",IF(Table1[[#This Row],[Age]]&lt;51,"36-50",IF(Table1[[#This Row],[Age]]&lt;66,"51-65",IF(Table1[[#This Row],[Age]]&gt;65,"&gt;65","none")))))</f>
        <v>36-50</v>
      </c>
      <c r="O499" t="str">
        <f>IF(AND(Table1[[#This Row],[Smoker]]="Yes",Table1[[#This Row],[Diabetic]]="Yes"),"Yes","No")</f>
        <v>No</v>
      </c>
      <c r="P499" t="str">
        <f>IF(OR(Table1[[#This Row],[Smoker]]="Yes",Table1[[#This Row],[Diabetic]]="Yes"),"Yes","No")</f>
        <v>No</v>
      </c>
      <c r="Q499" s="1" t="str">
        <f>IF(OR(Table1[[#This Row],[Systolic]]&gt;125,Table1[[#This Row],[Diastolic]]&gt;90),"High","Normal")</f>
        <v>High</v>
      </c>
      <c r="R499" s="1">
        <f>Table1[[#This Row],[Discharge_Date]]-Table1[[#This Row],[Admission_Date]]</f>
        <v>14</v>
      </c>
      <c r="S499" s="1"/>
    </row>
    <row r="500" spans="1:19" x14ac:dyDescent="0.3">
      <c r="A500" t="s">
        <v>521</v>
      </c>
      <c r="B500">
        <v>47</v>
      </c>
      <c r="C500" t="s">
        <v>12</v>
      </c>
      <c r="D500">
        <v>29.6</v>
      </c>
      <c r="E500">
        <v>162</v>
      </c>
      <c r="F500">
        <v>84</v>
      </c>
      <c r="G500" t="s">
        <v>13</v>
      </c>
      <c r="H500" t="s">
        <v>13</v>
      </c>
      <c r="I500" t="s">
        <v>15</v>
      </c>
      <c r="J500" s="2">
        <v>1065.24</v>
      </c>
      <c r="K500" s="3">
        <v>45787</v>
      </c>
      <c r="L500" s="3">
        <v>45792</v>
      </c>
      <c r="M500" t="s">
        <v>23</v>
      </c>
      <c r="N500" t="str">
        <f>IF(Table1[[#This Row],[Age]]&lt;25,"&lt; 25",IF(Table1[[#This Row],[Age]]&lt;36,"25-35",IF(Table1[[#This Row],[Age]]&lt;51,"36-50",IF(Table1[[#This Row],[Age]]&lt;66,"51-65",IF(Table1[[#This Row],[Age]]&gt;65,"&gt;65","none")))))</f>
        <v>36-50</v>
      </c>
      <c r="O500" t="str">
        <f>IF(AND(Table1[[#This Row],[Smoker]]="Yes",Table1[[#This Row],[Diabetic]]="Yes"),"Yes","No")</f>
        <v>No</v>
      </c>
      <c r="P500" t="str">
        <f>IF(OR(Table1[[#This Row],[Smoker]]="Yes",Table1[[#This Row],[Diabetic]]="Yes"),"Yes","No")</f>
        <v>No</v>
      </c>
      <c r="Q500" s="1" t="str">
        <f>IF(OR(Table1[[#This Row],[Systolic]]&gt;125,Table1[[#This Row],[Diastolic]]&gt;90),"High","Normal")</f>
        <v>High</v>
      </c>
      <c r="R500" s="1">
        <f>Table1[[#This Row],[Discharge_Date]]-Table1[[#This Row],[Admission_Date]]</f>
        <v>5</v>
      </c>
      <c r="S500" s="1"/>
    </row>
    <row r="501" spans="1:19" x14ac:dyDescent="0.3">
      <c r="A501" t="s">
        <v>522</v>
      </c>
      <c r="B501">
        <v>85</v>
      </c>
      <c r="C501" t="s">
        <v>18</v>
      </c>
      <c r="D501">
        <v>25</v>
      </c>
      <c r="E501">
        <v>134</v>
      </c>
      <c r="F501">
        <v>74</v>
      </c>
      <c r="G501" t="s">
        <v>14</v>
      </c>
      <c r="H501" t="s">
        <v>14</v>
      </c>
      <c r="I501" t="s">
        <v>15</v>
      </c>
      <c r="J501" s="2">
        <v>422.94</v>
      </c>
      <c r="K501" s="3">
        <v>45818</v>
      </c>
      <c r="L501" s="3">
        <v>45824</v>
      </c>
      <c r="M501" t="s">
        <v>23</v>
      </c>
      <c r="N501" t="str">
        <f>IF(Table1[[#This Row],[Age]]&lt;25,"&lt; 25",IF(Table1[[#This Row],[Age]]&lt;36,"25-35",IF(Table1[[#This Row],[Age]]&lt;51,"36-50",IF(Table1[[#This Row],[Age]]&lt;66,"51-65",IF(Table1[[#This Row],[Age]]&gt;65,"&gt;65","none")))))</f>
        <v>&gt;65</v>
      </c>
      <c r="O501" t="str">
        <f>IF(AND(Table1[[#This Row],[Smoker]]="Yes",Table1[[#This Row],[Diabetic]]="Yes"),"Yes","No")</f>
        <v>Yes</v>
      </c>
      <c r="P501" t="str">
        <f>IF(OR(Table1[[#This Row],[Smoker]]="Yes",Table1[[#This Row],[Diabetic]]="Yes"),"Yes","No")</f>
        <v>Yes</v>
      </c>
      <c r="Q501" s="1" t="str">
        <f>IF(OR(Table1[[#This Row],[Systolic]]&gt;125,Table1[[#This Row],[Diastolic]]&gt;90),"High","Normal")</f>
        <v>High</v>
      </c>
      <c r="R501" s="1">
        <f>Table1[[#This Row],[Discharge_Date]]-Table1[[#This Row],[Admission_Date]]</f>
        <v>6</v>
      </c>
      <c r="S50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70" zoomScaleNormal="70" workbookViewId="0">
      <selection activeCell="AH10" sqref="AH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my project synthetic_healthcare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femi</dc:creator>
  <cp:lastModifiedBy>femi</cp:lastModifiedBy>
  <dcterms:created xsi:type="dcterms:W3CDTF">2026-03-15T20:03:07Z</dcterms:created>
  <dcterms:modified xsi:type="dcterms:W3CDTF">2026-03-22T14:47:41Z</dcterms:modified>
</cp:coreProperties>
</file>